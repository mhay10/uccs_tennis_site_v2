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D6BF0AD1-E4EF-4458-9CFE-2193F51CA493}" xr6:coauthVersionLast="47" xr6:coauthVersionMax="47" xr10:uidLastSave="{00000000-0000-0000-0000-000000000000}"/>
  <bookViews>
    <workbookView xWindow="810" yWindow="-120" windowWidth="28110" windowHeight="16440" tabRatio="725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O15" i="12"/>
  <c r="I15" i="12" s="1"/>
  <c r="O14" i="12"/>
  <c r="I14" i="12" s="1"/>
  <c r="O7" i="12"/>
  <c r="I7" i="12"/>
  <c r="O6" i="12"/>
  <c r="O31" i="11"/>
  <c r="I31" i="11" s="1"/>
  <c r="O30" i="11"/>
  <c r="I30" i="11"/>
  <c r="O23" i="11"/>
  <c r="I22" i="11" s="1"/>
  <c r="I23" i="11"/>
  <c r="O22" i="11"/>
  <c r="O15" i="11"/>
  <c r="I15" i="11"/>
  <c r="O14" i="11"/>
  <c r="I14" i="11" s="1"/>
  <c r="O7" i="11"/>
  <c r="I7" i="11"/>
  <c r="O6" i="11"/>
  <c r="I6" i="11"/>
  <c r="O31" i="10"/>
  <c r="I31" i="10"/>
  <c r="O30" i="10"/>
  <c r="I30" i="10"/>
  <c r="O23" i="10"/>
  <c r="I23" i="10"/>
  <c r="O22" i="10"/>
  <c r="I22" i="10" s="1"/>
  <c r="O15" i="10"/>
  <c r="I15" i="10" s="1"/>
  <c r="O14" i="10"/>
  <c r="O7" i="10"/>
  <c r="I7" i="10"/>
  <c r="O6" i="10"/>
  <c r="R27" i="12" l="1"/>
  <c r="U31" i="12" s="1"/>
  <c r="I22" i="12"/>
  <c r="I6" i="12"/>
  <c r="F10" i="12" s="1"/>
  <c r="R10" i="12"/>
  <c r="F11" i="12"/>
  <c r="R11" i="12"/>
  <c r="F26" i="12"/>
  <c r="R26" i="12"/>
  <c r="F27" i="12"/>
  <c r="C19" i="12" s="1"/>
  <c r="R27" i="11"/>
  <c r="F27" i="11"/>
  <c r="F10" i="11"/>
  <c r="R10" i="11"/>
  <c r="F11" i="11"/>
  <c r="R11" i="11"/>
  <c r="F26" i="11"/>
  <c r="C19" i="11" s="1"/>
  <c r="R26" i="11"/>
  <c r="U19" i="11" s="1"/>
  <c r="U31" i="11"/>
  <c r="F27" i="10"/>
  <c r="R26" i="10"/>
  <c r="F26" i="10"/>
  <c r="C19" i="10" s="1"/>
  <c r="I14" i="10"/>
  <c r="I6" i="10"/>
  <c r="F10" i="10" s="1"/>
  <c r="R27" i="10"/>
  <c r="U19" i="10" s="1"/>
  <c r="R10" i="10"/>
  <c r="R11" i="10"/>
  <c r="U30" i="10" s="1"/>
  <c r="F11" i="10"/>
  <c r="D5" i="14"/>
  <c r="D8" i="14"/>
  <c r="I2" i="14"/>
  <c r="D23" i="14"/>
  <c r="D20" i="14"/>
  <c r="D17" i="14"/>
  <c r="D14" i="14"/>
  <c r="D11" i="14"/>
  <c r="U19" i="12" l="1"/>
  <c r="C18" i="12"/>
  <c r="U30" i="12"/>
  <c r="U18" i="12"/>
  <c r="U18" i="11"/>
  <c r="C18" i="11"/>
  <c r="U30" i="11"/>
  <c r="U31" i="10"/>
  <c r="U18" i="10"/>
  <c r="C18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H39" i="7" a="1"/>
  <c r="K39" i="7" a="1"/>
  <c r="J39" i="7" a="1"/>
  <c r="I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<sst xmlns="http://schemas.openxmlformats.org/spreadsheetml/2006/main" count="514" uniqueCount="139">
  <si>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</si>
  <si>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</si>
  <si>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</si>
  <si>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</si>
  <si>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</si>
  <si>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</si>
  <si>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</si>
  <si>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</si>
  <si>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</si>
  <si>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</si>
  <si>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</si>
  <si>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</si>
  <si>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</si>
  <si>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</si>
  <si>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</si>
  <si>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</si>
  <si>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</si>
  <si>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</si>
  <si>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</si>
  <si>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</si>
  <si>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</si>
  <si>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</si>
  <si>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</si>
  <si>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</si>
  <si>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</si>
  <si>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</si>
  <si>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</si>
  <si>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</si>
  <si>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</si>
  <si>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</si>
  <si>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</si>
  <si>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</si>
  <si>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</si>
  <si>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</si>
  <si>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</si>
  <si>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</si>
  <si>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</si>
  <si>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</si>
  <si>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</si>
  <si>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</si>
  <si>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</si>
  <si>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</si>
  <si>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</si>
  <si>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</si>
  <si>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</si>
  <si>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</si>
  <si>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</si>
  <si>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</si>
  <si>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</si>
  <si>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</si>
  <si>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</si>
  <si>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</si>
  <si>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</si>
  <si>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</si>
  <si>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</si>
  <si>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</si>
  <si>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</si>
  <si>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</si>
  <si>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</si>
  <si>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</si>
  <si>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</si>
  <si>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</si>
  <si>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</si>
  <si>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</si>
  <si>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</si>
  <si>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</si>
  <si>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</si>
  <si>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</si>
  <si>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</si>
  <si>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</si>
  <si>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</si>
  <si>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</si>
  <si>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</si>
  <si>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</si>
  <si>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</si>
  <si>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</si>
  <si>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</si>
  <si>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</si>
  <si>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</si>
  <si>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</si>
  <si>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</si>
  <si>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</si>
  <si>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</si>
  <si>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</si>
  <si>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</si>
  <si>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</si>
  <si>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</si>
  <si>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</si>
  <si>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</si>
  <si>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</si>
  <si>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</si>
  <si>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</si>
  <si>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</si>
  <si>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</si>
  <si>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</si>
  <si>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</si>
  <si>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</si>
  <si>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</si>
  <si>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</si>
  <si>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</si>
  <si>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</si>
  <si>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</si>
  <si>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</si>
  <si>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</si>
  <si>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</si>
  <si>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</si>
  <si>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</si>
  <si>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</si>
  <si>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</si>
  <si>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</si>
  <si>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</si>
  <si>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</si>
  <si>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</si>
  <si>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</si>
  <si>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</si>
  <si>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</si>
  <si>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</si>
  <si>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</si>
  <si>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</si>
  <si>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</si>
  <si>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</si>
  <si>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</si>
  <si>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</si>
  <si>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</si>
  <si>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</si>
  <si>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</si>
  <si>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</si>
  <si>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</si>
  <si>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</si>
  <si>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</si>
  <si>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</si>
  <si>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</si>
  <si>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</si>
  <si>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</si>
  <si>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</si>
  <si>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</si>
  <si>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PoolPlay</t>
  </si>
  <si>
    <t>https://uccstennisimages.share.zrok.io</t>
  </si>
  <si>
    <t>Asset Server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</si>
</sst>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</cellStyleXfs>
  <cellXfs count="193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2" fillId="13" borderId="13" xfId="0" applyFont="1" applyFill="1" applyBorder="1" applyAlignment="1">
      <alignment horizontal="left"/>
    </xf>
    <xf numFmtId="0" fontId="2" fillId="13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13" xfId="0" applyFont="1" applyFill="1" applyBorder="1" applyAlignment="1">
      <alignment horizontal="left"/>
    </xf>
    <xf numFmtId="0" fontId="0" fillId="0" borderId="5" xfId="0" applyBorder="1"/>
    <xf numFmtId="18" fontId="11" fillId="13" borderId="10" xfId="0" applyNumberFormat="1" applyFont="1" applyFill="1" applyBorder="1" applyAlignment="1">
      <alignment horizontal="left"/>
    </xf>
    <xf numFmtId="18" fontId="11" fillId="13" borderId="11" xfId="0" applyNumberFormat="1" applyFont="1" applyFill="1" applyBorder="1" applyAlignment="1">
      <alignment horizontal="left"/>
    </xf>
    <xf numFmtId="18" fontId="11" fillId="5" borderId="9" xfId="0" applyNumberFormat="1" applyFont="1" applyFill="1" applyBorder="1" applyAlignment="1">
      <alignment horizontal="left"/>
    </xf>
    <xf numFmtId="18" fontId="11" fillId="5" borderId="6" xfId="0" applyNumberFormat="1" applyFont="1" applyFill="1" applyBorder="1" applyAlignment="1">
      <alignment horizontal="left"/>
    </xf>
    <xf numFmtId="18" fontId="11" fillId="5" borderId="12" xfId="0" applyNumberFormat="1" applyFont="1" applyFill="1" applyBorder="1" applyAlignment="1">
      <alignment horizontal="left"/>
    </xf>
    <xf numFmtId="18" fontId="11" fillId="5" borderId="14" xfId="0" applyNumberFormat="1" applyFont="1" applyFill="1" applyBorder="1" applyAlignment="1">
      <alignment horizontal="left"/>
    </xf>
    <xf numFmtId="18" fontId="11" fillId="5" borderId="10" xfId="0" applyNumberFormat="1" applyFont="1" applyFill="1" applyBorder="1" applyAlignment="1">
      <alignment horizontal="left"/>
    </xf>
    <xf numFmtId="18" fontId="11" fillId="5" borderId="11" xfId="0" applyNumberFormat="1" applyFont="1" applyFill="1" applyBorder="1" applyAlignment="1">
      <alignment horizontal="left"/>
    </xf>
    <xf numFmtId="18" fontId="11" fillId="13" borderId="12" xfId="0" applyNumberFormat="1" applyFont="1" applyFill="1" applyBorder="1" applyAlignment="1">
      <alignment horizontal="left"/>
    </xf>
    <xf numFmtId="18" fontId="11" fillId="13" borderId="14" xfId="0" applyNumberFormat="1" applyFont="1" applyFill="1" applyBorder="1" applyAlignment="1">
      <alignment horizontal="left"/>
    </xf>
    <xf numFmtId="0" fontId="11" fillId="5" borderId="10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 wrapText="1"/>
    </xf>
    <xf numFmtId="0" fontId="11" fillId="13" borderId="10" xfId="0" applyFont="1" applyFill="1" applyBorder="1" applyAlignment="1">
      <alignment horizontal="center" vertical="center" wrapText="1"/>
    </xf>
    <xf numFmtId="0" fontId="11" fillId="13" borderId="4" xfId="0" applyFont="1" applyFill="1" applyBorder="1" applyAlignment="1">
      <alignment horizontal="center" vertical="center" wrapText="1"/>
    </xf>
    <xf numFmtId="0" fontId="11" fillId="13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18" fontId="11" fillId="13" borderId="9" xfId="0" applyNumberFormat="1" applyFont="1" applyFill="1" applyBorder="1" applyAlignment="1">
      <alignment horizontal="left"/>
    </xf>
    <xf numFmtId="18" fontId="11" fillId="13" borderId="6" xfId="0" applyNumberFormat="1" applyFont="1" applyFill="1" applyBorder="1" applyAlignment="1">
      <alignment horizontal="left"/>
    </xf>
    <xf numFmtId="49" fontId="11" fillId="13" borderId="10" xfId="0" applyNumberFormat="1" applyFont="1" applyFill="1" applyBorder="1" applyAlignment="1">
      <alignment horizontal="center" vertical="center" wrapText="1"/>
    </xf>
    <xf numFmtId="49" fontId="11" fillId="13" borderId="4" xfId="0" applyNumberFormat="1" applyFont="1" applyFill="1" applyBorder="1" applyAlignment="1">
      <alignment horizontal="center" vertical="center" wrapText="1"/>
    </xf>
    <xf numFmtId="49" fontId="11" fillId="13" borderId="12" xfId="0" applyNumberFormat="1" applyFont="1" applyFill="1" applyBorder="1" applyAlignment="1">
      <alignment horizontal="center" vertical="center" wrapText="1"/>
    </xf>
    <xf numFmtId="0" fontId="7" fillId="17" borderId="10" xfId="0" applyFont="1" applyFill="1" applyBorder="1" applyAlignment="1">
      <alignment horizontal="center"/>
    </xf>
    <xf numFmtId="0" fontId="7" fillId="17" borderId="2" xfId="0" applyFont="1" applyFill="1" applyBorder="1" applyAlignment="1">
      <alignment horizontal="center"/>
    </xf>
    <xf numFmtId="0" fontId="7" fillId="17" borderId="11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" fillId="29" borderId="1" xfId="17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8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103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ccstennisimages.share.zrok.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52"/>
  <sheetViews>
    <sheetView tabSelected="1" zoomScaleNormal="100" workbookViewId="0">
      <selection activeCell="O11" sqref="O11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50" t="s">
        <v>121</v>
      </c>
      <c r="C2" s="151"/>
      <c r="D2" s="151"/>
      <c r="E2" s="152"/>
      <c r="G2" s="112" t="s">
        <v>122</v>
      </c>
      <c r="I2" s="144">
        <f ca="1">NOW()</f>
        <v>45319.991964699075</v>
      </c>
      <c r="J2" s="144"/>
    </row>
    <row r="3" spans="2:13" x14ac:dyDescent="0.25">
      <c r="B3" s="147" t="s">
        <v>125</v>
      </c>
      <c r="C3" s="124" t="s">
        <v>120</v>
      </c>
      <c r="D3" s="128"/>
      <c r="E3" s="129"/>
    </row>
    <row r="4" spans="2:13" ht="15" customHeight="1" x14ac:dyDescent="0.25">
      <c r="B4" s="148"/>
      <c r="C4" s="114"/>
      <c r="D4" s="127"/>
      <c r="E4" s="120"/>
      <c r="G4" s="113"/>
      <c r="H4" s="116" t="s">
        <v>124</v>
      </c>
      <c r="I4" s="115"/>
      <c r="K4" s="117"/>
      <c r="L4" s="118" t="s">
        <v>123</v>
      </c>
      <c r="M4" s="119"/>
    </row>
    <row r="5" spans="2:13" x14ac:dyDescent="0.25">
      <c r="B5" s="149"/>
      <c r="C5" s="123" t="s">
        <v>119</v>
      </c>
      <c r="D5" s="136">
        <f>D3+2/24</f>
        <v>8.3333333333333329E-2</v>
      </c>
      <c r="E5" s="137"/>
      <c r="G5" s="121" t="s">
        <v>48</v>
      </c>
      <c r="H5" s="122" t="s">
        <v>49</v>
      </c>
      <c r="I5" s="120" t="s">
        <v>136</v>
      </c>
    </row>
    <row r="6" spans="2:13" x14ac:dyDescent="0.25">
      <c r="B6" s="138" t="s">
        <v>126</v>
      </c>
      <c r="C6" s="125" t="s">
        <v>120</v>
      </c>
      <c r="D6" s="134"/>
      <c r="E6" s="135"/>
      <c r="G6" s="121" t="s">
        <v>50</v>
      </c>
      <c r="H6" s="122" t="s">
        <v>51</v>
      </c>
      <c r="I6" s="120" t="s">
        <v>136</v>
      </c>
    </row>
    <row r="7" spans="2:13" x14ac:dyDescent="0.25">
      <c r="B7" s="139"/>
      <c r="C7" s="114"/>
      <c r="D7" s="127"/>
      <c r="E7" s="120"/>
      <c r="G7" s="121" t="s">
        <v>52</v>
      </c>
      <c r="H7" s="122" t="s">
        <v>53</v>
      </c>
      <c r="I7" s="120" t="s">
        <v>136</v>
      </c>
    </row>
    <row r="8" spans="2:13" x14ac:dyDescent="0.25">
      <c r="B8" s="140"/>
      <c r="C8" s="126" t="s">
        <v>119</v>
      </c>
      <c r="D8" s="132">
        <f>D6+2/24</f>
        <v>8.3333333333333329E-2</v>
      </c>
      <c r="E8" s="133"/>
      <c r="G8" s="121" t="s">
        <v>54</v>
      </c>
      <c r="H8" s="122" t="s">
        <v>55</v>
      </c>
      <c r="I8" s="120" t="s">
        <v>136</v>
      </c>
    </row>
    <row r="9" spans="2:13" x14ac:dyDescent="0.25">
      <c r="B9" s="141" t="s">
        <v>127</v>
      </c>
      <c r="C9" s="124" t="s">
        <v>120</v>
      </c>
      <c r="D9" s="128"/>
      <c r="E9" s="129"/>
      <c r="G9" s="121" t="s">
        <v>56</v>
      </c>
      <c r="H9" s="122" t="s">
        <v>57</v>
      </c>
      <c r="I9" s="120" t="s">
        <v>136</v>
      </c>
    </row>
    <row r="10" spans="2:13" x14ac:dyDescent="0.25">
      <c r="B10" s="142"/>
      <c r="C10" s="114"/>
      <c r="D10" s="127"/>
      <c r="E10" s="120"/>
      <c r="G10" s="121" t="s">
        <v>58</v>
      </c>
      <c r="H10" s="122" t="s">
        <v>59</v>
      </c>
      <c r="I10" s="120" t="s">
        <v>136</v>
      </c>
    </row>
    <row r="11" spans="2:13" x14ac:dyDescent="0.25">
      <c r="B11" s="143"/>
      <c r="C11" s="123" t="s">
        <v>119</v>
      </c>
      <c r="D11" s="136">
        <f>D9+2/24</f>
        <v>8.3333333333333329E-2</v>
      </c>
      <c r="E11" s="137"/>
      <c r="G11" s="121" t="s">
        <v>60</v>
      </c>
      <c r="H11" s="122" t="s">
        <v>61</v>
      </c>
      <c r="I11" s="120" t="s">
        <v>136</v>
      </c>
    </row>
    <row r="12" spans="2:13" x14ac:dyDescent="0.25">
      <c r="B12" s="138" t="s">
        <v>128</v>
      </c>
      <c r="C12" s="125" t="s">
        <v>120</v>
      </c>
      <c r="D12" s="130"/>
      <c r="E12" s="131"/>
      <c r="G12" s="121" t="s">
        <v>62</v>
      </c>
      <c r="H12" s="122" t="s">
        <v>63</v>
      </c>
      <c r="I12" s="120" t="s">
        <v>136</v>
      </c>
    </row>
    <row r="13" spans="2:13" x14ac:dyDescent="0.25">
      <c r="B13" s="139"/>
      <c r="C13" s="114"/>
      <c r="D13" s="127"/>
      <c r="E13" s="120"/>
      <c r="G13" s="121" t="s">
        <v>64</v>
      </c>
      <c r="H13" s="122" t="s">
        <v>65</v>
      </c>
      <c r="I13" s="120" t="s">
        <v>136</v>
      </c>
    </row>
    <row r="14" spans="2:13" x14ac:dyDescent="0.25">
      <c r="B14" s="140"/>
      <c r="C14" s="126" t="s">
        <v>119</v>
      </c>
      <c r="D14" s="130">
        <f>D12+2/24</f>
        <v>8.3333333333333329E-2</v>
      </c>
      <c r="E14" s="131"/>
      <c r="G14" s="121" t="s">
        <v>66</v>
      </c>
      <c r="H14" s="122" t="s">
        <v>67</v>
      </c>
      <c r="I14" s="120" t="s">
        <v>136</v>
      </c>
    </row>
    <row r="15" spans="2:13" x14ac:dyDescent="0.25">
      <c r="B15" s="141" t="s">
        <v>129</v>
      </c>
      <c r="C15" s="124" t="s">
        <v>120</v>
      </c>
      <c r="D15" s="145"/>
      <c r="E15" s="146"/>
      <c r="G15" s="121" t="s">
        <v>68</v>
      </c>
      <c r="H15" s="122" t="s">
        <v>69</v>
      </c>
      <c r="I15" s="120" t="s">
        <v>136</v>
      </c>
    </row>
    <row r="16" spans="2:13" ht="15" customHeight="1" x14ac:dyDescent="0.25">
      <c r="B16" s="142"/>
      <c r="C16" s="114"/>
      <c r="D16" s="127"/>
      <c r="E16" s="120"/>
      <c r="G16" s="121" t="s">
        <v>70</v>
      </c>
      <c r="H16" s="122" t="s">
        <v>71</v>
      </c>
      <c r="I16" s="120" t="s">
        <v>136</v>
      </c>
    </row>
    <row r="17" spans="2:9" ht="15" customHeight="1" x14ac:dyDescent="0.25">
      <c r="B17" s="143"/>
      <c r="C17" s="123" t="s">
        <v>119</v>
      </c>
      <c r="D17" s="145">
        <f>D15+2/24</f>
        <v>8.3333333333333329E-2</v>
      </c>
      <c r="E17" s="146"/>
      <c r="G17" s="121" t="s">
        <v>72</v>
      </c>
      <c r="H17" s="122" t="s">
        <v>73</v>
      </c>
      <c r="I17" s="120" t="s">
        <v>136</v>
      </c>
    </row>
    <row r="18" spans="2:9" x14ac:dyDescent="0.25">
      <c r="B18" s="138" t="s">
        <v>130</v>
      </c>
      <c r="C18" s="125" t="s">
        <v>120</v>
      </c>
      <c r="D18" s="130"/>
      <c r="E18" s="131"/>
      <c r="G18" s="121" t="s">
        <v>74</v>
      </c>
      <c r="H18" s="122" t="s">
        <v>75</v>
      </c>
      <c r="I18" s="120" t="s">
        <v>136</v>
      </c>
    </row>
    <row r="19" spans="2:9" x14ac:dyDescent="0.25">
      <c r="B19" s="139"/>
      <c r="C19" s="114"/>
      <c r="D19" s="127"/>
      <c r="E19" s="120"/>
      <c r="G19" s="121" t="s">
        <v>77</v>
      </c>
      <c r="H19" s="122" t="s">
        <v>79</v>
      </c>
      <c r="I19" s="120" t="s">
        <v>136</v>
      </c>
    </row>
    <row r="20" spans="2:9" ht="15" customHeight="1" x14ac:dyDescent="0.25">
      <c r="B20" s="140"/>
      <c r="C20" s="126" t="s">
        <v>119</v>
      </c>
      <c r="D20" s="130">
        <f>D18+2/24</f>
        <v>8.3333333333333329E-2</v>
      </c>
      <c r="E20" s="131"/>
      <c r="G20" s="121" t="s">
        <v>81</v>
      </c>
      <c r="H20" s="122" t="s">
        <v>83</v>
      </c>
      <c r="I20" s="120" t="s">
        <v>136</v>
      </c>
    </row>
    <row r="21" spans="2:9" x14ac:dyDescent="0.25">
      <c r="B21" s="141" t="s">
        <v>131</v>
      </c>
      <c r="C21" s="124" t="s">
        <v>120</v>
      </c>
      <c r="D21" s="145"/>
      <c r="E21" s="146"/>
      <c r="G21" s="121" t="s">
        <v>48</v>
      </c>
      <c r="H21" s="122" t="s">
        <v>50</v>
      </c>
      <c r="I21" s="120" t="s">
        <v>136</v>
      </c>
    </row>
    <row r="22" spans="2:9" x14ac:dyDescent="0.25">
      <c r="B22" s="142"/>
      <c r="C22" s="114"/>
      <c r="D22" s="127"/>
      <c r="E22" s="120"/>
      <c r="G22" s="121" t="s">
        <v>49</v>
      </c>
      <c r="H22" s="122" t="s">
        <v>51</v>
      </c>
      <c r="I22" s="120" t="s">
        <v>136</v>
      </c>
    </row>
    <row r="23" spans="2:9" x14ac:dyDescent="0.25">
      <c r="B23" s="143"/>
      <c r="C23" s="123" t="s">
        <v>119</v>
      </c>
      <c r="D23" s="145">
        <f>D21+2/24</f>
        <v>8.3333333333333329E-2</v>
      </c>
      <c r="E23" s="146"/>
      <c r="G23" s="121" t="s">
        <v>52</v>
      </c>
      <c r="H23" s="122" t="s">
        <v>54</v>
      </c>
      <c r="I23" s="120" t="s">
        <v>136</v>
      </c>
    </row>
    <row r="24" spans="2:9" x14ac:dyDescent="0.25">
      <c r="G24" s="121" t="s">
        <v>53</v>
      </c>
      <c r="H24" s="122" t="s">
        <v>55</v>
      </c>
      <c r="I24" s="120" t="s">
        <v>136</v>
      </c>
    </row>
    <row r="25" spans="2:9" x14ac:dyDescent="0.25">
      <c r="G25" s="121" t="s">
        <v>56</v>
      </c>
      <c r="H25" s="122" t="s">
        <v>58</v>
      </c>
      <c r="I25" s="120" t="s">
        <v>136</v>
      </c>
    </row>
    <row r="26" spans="2:9" x14ac:dyDescent="0.25">
      <c r="G26" s="121" t="s">
        <v>57</v>
      </c>
      <c r="H26" s="122" t="s">
        <v>59</v>
      </c>
      <c r="I26" s="120" t="s">
        <v>136</v>
      </c>
    </row>
    <row r="27" spans="2:9" x14ac:dyDescent="0.25">
      <c r="G27" s="121" t="s">
        <v>60</v>
      </c>
      <c r="H27" s="122" t="s">
        <v>62</v>
      </c>
      <c r="I27" s="120" t="s">
        <v>136</v>
      </c>
    </row>
    <row r="28" spans="2:9" x14ac:dyDescent="0.25">
      <c r="G28" s="121" t="s">
        <v>61</v>
      </c>
      <c r="H28" s="122" t="s">
        <v>63</v>
      </c>
      <c r="I28" s="120" t="s">
        <v>136</v>
      </c>
    </row>
    <row r="29" spans="2:9" x14ac:dyDescent="0.25">
      <c r="G29" s="121" t="s">
        <v>64</v>
      </c>
      <c r="H29" s="122" t="s">
        <v>66</v>
      </c>
      <c r="I29" s="120" t="s">
        <v>136</v>
      </c>
    </row>
    <row r="30" spans="2:9" x14ac:dyDescent="0.25">
      <c r="G30" s="121" t="s">
        <v>65</v>
      </c>
      <c r="H30" s="122" t="s">
        <v>67</v>
      </c>
      <c r="I30" s="120" t="s">
        <v>136</v>
      </c>
    </row>
    <row r="31" spans="2:9" x14ac:dyDescent="0.25">
      <c r="G31" s="121" t="s">
        <v>68</v>
      </c>
      <c r="H31" s="122" t="s">
        <v>70</v>
      </c>
      <c r="I31" s="120" t="s">
        <v>136</v>
      </c>
    </row>
    <row r="32" spans="2:9" x14ac:dyDescent="0.25">
      <c r="G32" s="121" t="s">
        <v>69</v>
      </c>
      <c r="H32" s="122" t="s">
        <v>71</v>
      </c>
      <c r="I32" s="120" t="s">
        <v>136</v>
      </c>
    </row>
    <row r="33" spans="7:9" x14ac:dyDescent="0.25">
      <c r="G33" s="121" t="s">
        <v>72</v>
      </c>
      <c r="H33" s="122" t="s">
        <v>74</v>
      </c>
      <c r="I33" s="120" t="s">
        <v>136</v>
      </c>
    </row>
    <row r="34" spans="7:9" x14ac:dyDescent="0.25">
      <c r="G34" s="121" t="s">
        <v>73</v>
      </c>
      <c r="H34" s="122" t="s">
        <v>75</v>
      </c>
      <c r="I34" s="120" t="s">
        <v>136</v>
      </c>
    </row>
    <row r="35" spans="7:9" x14ac:dyDescent="0.25">
      <c r="G35" s="121" t="s">
        <v>77</v>
      </c>
      <c r="H35" s="122" t="s">
        <v>81</v>
      </c>
      <c r="I35" s="120" t="s">
        <v>136</v>
      </c>
    </row>
    <row r="36" spans="7:9" x14ac:dyDescent="0.25">
      <c r="G36" s="121" t="s">
        <v>79</v>
      </c>
      <c r="H36" s="122" t="s">
        <v>83</v>
      </c>
      <c r="I36" s="120" t="s">
        <v>136</v>
      </c>
    </row>
    <row r="37" spans="7:9" x14ac:dyDescent="0.25">
      <c r="G37" s="121" t="s">
        <v>48</v>
      </c>
      <c r="H37" s="122" t="s">
        <v>51</v>
      </c>
      <c r="I37" s="120" t="s">
        <v>136</v>
      </c>
    </row>
    <row r="38" spans="7:9" x14ac:dyDescent="0.25">
      <c r="G38" s="121" t="s">
        <v>49</v>
      </c>
      <c r="H38" s="122" t="s">
        <v>50</v>
      </c>
      <c r="I38" s="120" t="s">
        <v>136</v>
      </c>
    </row>
    <row r="39" spans="7:9" x14ac:dyDescent="0.25">
      <c r="G39" s="121" t="s">
        <v>52</v>
      </c>
      <c r="H39" s="122" t="s">
        <v>55</v>
      </c>
      <c r="I39" s="120" t="s">
        <v>136</v>
      </c>
    </row>
    <row r="40" spans="7:9" x14ac:dyDescent="0.25">
      <c r="G40" s="121" t="s">
        <v>53</v>
      </c>
      <c r="H40" s="122" t="s">
        <v>54</v>
      </c>
      <c r="I40" s="120" t="s">
        <v>136</v>
      </c>
    </row>
    <row r="41" spans="7:9" x14ac:dyDescent="0.25">
      <c r="G41" s="121" t="s">
        <v>56</v>
      </c>
      <c r="H41" s="122" t="s">
        <v>59</v>
      </c>
      <c r="I41" s="120" t="s">
        <v>136</v>
      </c>
    </row>
    <row r="42" spans="7:9" x14ac:dyDescent="0.25">
      <c r="G42" s="121" t="s">
        <v>57</v>
      </c>
      <c r="H42" s="122" t="s">
        <v>58</v>
      </c>
      <c r="I42" s="120" t="s">
        <v>136</v>
      </c>
    </row>
    <row r="43" spans="7:9" x14ac:dyDescent="0.25">
      <c r="G43" s="121" t="s">
        <v>60</v>
      </c>
      <c r="H43" s="122" t="s">
        <v>63</v>
      </c>
      <c r="I43" s="120" t="s">
        <v>136</v>
      </c>
    </row>
    <row r="44" spans="7:9" x14ac:dyDescent="0.25">
      <c r="G44" s="121" t="s">
        <v>61</v>
      </c>
      <c r="H44" s="122" t="s">
        <v>62</v>
      </c>
      <c r="I44" s="120" t="s">
        <v>136</v>
      </c>
    </row>
    <row r="45" spans="7:9" x14ac:dyDescent="0.25">
      <c r="G45" s="121" t="s">
        <v>64</v>
      </c>
      <c r="H45" s="122" t="s">
        <v>67</v>
      </c>
      <c r="I45" s="120" t="s">
        <v>136</v>
      </c>
    </row>
    <row r="46" spans="7:9" x14ac:dyDescent="0.25">
      <c r="G46" s="121" t="s">
        <v>65</v>
      </c>
      <c r="H46" s="122" t="s">
        <v>66</v>
      </c>
      <c r="I46" s="120" t="s">
        <v>136</v>
      </c>
    </row>
    <row r="47" spans="7:9" x14ac:dyDescent="0.25">
      <c r="G47" s="121" t="s">
        <v>68</v>
      </c>
      <c r="H47" s="122" t="s">
        <v>71</v>
      </c>
      <c r="I47" s="120" t="s">
        <v>136</v>
      </c>
    </row>
    <row r="48" spans="7:9" x14ac:dyDescent="0.25">
      <c r="G48" s="121" t="s">
        <v>69</v>
      </c>
      <c r="H48" s="122" t="s">
        <v>70</v>
      </c>
      <c r="I48" s="120" t="s">
        <v>136</v>
      </c>
    </row>
    <row r="49" spans="7:9" x14ac:dyDescent="0.25">
      <c r="G49" s="121" t="s">
        <v>72</v>
      </c>
      <c r="H49" s="122" t="s">
        <v>75</v>
      </c>
      <c r="I49" s="120" t="s">
        <v>136</v>
      </c>
    </row>
    <row r="50" spans="7:9" x14ac:dyDescent="0.25">
      <c r="G50" s="121" t="s">
        <v>73</v>
      </c>
      <c r="H50" s="122" t="s">
        <v>74</v>
      </c>
      <c r="I50" s="120" t="s">
        <v>136</v>
      </c>
    </row>
    <row r="51" spans="7:9" x14ac:dyDescent="0.25">
      <c r="G51" s="121" t="s">
        <v>77</v>
      </c>
      <c r="H51" s="122" t="s">
        <v>83</v>
      </c>
      <c r="I51" s="120" t="s">
        <v>136</v>
      </c>
    </row>
    <row r="52" spans="7:9" x14ac:dyDescent="0.25">
      <c r="G52" s="121" t="s">
        <v>79</v>
      </c>
      <c r="H52" s="122" t="s">
        <v>81</v>
      </c>
      <c r="I52" s="120" t="s">
        <v>136</v>
      </c>
    </row>
  </sheetData>
  <mergeCells count="23"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workbookViewId="0">
      <selection activeCell="G17" sqref="G17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9" ht="15.75" x14ac:dyDescent="0.25">
      <c r="A1" s="153" t="s">
        <v>96</v>
      </c>
      <c r="B1" s="154"/>
      <c r="C1" s="155"/>
      <c r="D1" s="88"/>
      <c r="E1" s="88"/>
      <c r="F1" s="156" t="s">
        <v>138</v>
      </c>
      <c r="G1" s="156"/>
      <c r="H1" s="156"/>
      <c r="I1" s="156"/>
    </row>
    <row r="2" spans="1:9" x14ac:dyDescent="0.25">
      <c r="A2" s="106" t="s">
        <v>92</v>
      </c>
      <c r="B2" s="106" t="s">
        <v>93</v>
      </c>
      <c r="C2" s="106" t="s">
        <v>94</v>
      </c>
      <c r="F2" s="157" t="s">
        <v>137</v>
      </c>
      <c r="G2" s="157"/>
      <c r="H2" s="157"/>
      <c r="I2" s="157"/>
    </row>
    <row r="3" spans="1:9" x14ac:dyDescent="0.25">
      <c r="A3" s="83" t="s">
        <v>95</v>
      </c>
      <c r="B3" s="93">
        <v>32</v>
      </c>
      <c r="C3" s="94" t="s">
        <v>97</v>
      </c>
    </row>
    <row r="4" spans="1:9" x14ac:dyDescent="0.25">
      <c r="A4" s="99" t="s">
        <v>98</v>
      </c>
      <c r="B4" s="100">
        <v>3</v>
      </c>
      <c r="C4" s="105" t="s">
        <v>116</v>
      </c>
    </row>
    <row r="5" spans="1:9" x14ac:dyDescent="0.25">
      <c r="A5" s="90" t="s">
        <v>100</v>
      </c>
      <c r="B5" s="101">
        <v>11</v>
      </c>
      <c r="C5" s="95" t="s">
        <v>111</v>
      </c>
    </row>
    <row r="6" spans="1:9" x14ac:dyDescent="0.25">
      <c r="A6" s="91" t="s">
        <v>99</v>
      </c>
      <c r="B6" s="102">
        <v>11</v>
      </c>
      <c r="C6" s="96" t="s">
        <v>111</v>
      </c>
    </row>
    <row r="7" spans="1:9" x14ac:dyDescent="0.25">
      <c r="A7" s="89" t="s">
        <v>101</v>
      </c>
      <c r="B7" s="103">
        <v>10</v>
      </c>
      <c r="C7" s="97" t="s">
        <v>111</v>
      </c>
    </row>
    <row r="8" spans="1:9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J11" sqref="J11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  <col min="5" max="5" width="9.140625" customWidth="1"/>
    <col min="6" max="6" width="20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25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25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25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25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25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25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25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25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25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25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25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25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25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25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25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25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25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25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25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25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25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25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25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25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25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25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25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25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25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25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25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C14" sqref="C14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58" t="s">
        <v>12</v>
      </c>
      <c r="B1" s="158"/>
      <c r="C1" s="158" t="s">
        <v>13</v>
      </c>
      <c r="D1" s="158"/>
      <c r="E1" s="158" t="s">
        <v>14</v>
      </c>
      <c r="F1" s="158"/>
      <c r="G1" s="158" t="s">
        <v>15</v>
      </c>
      <c r="H1" s="158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58" t="s">
        <v>16</v>
      </c>
      <c r="B6" s="158"/>
      <c r="C6" s="158" t="s">
        <v>17</v>
      </c>
      <c r="D6" s="158"/>
      <c r="E6" s="158" t="s">
        <v>18</v>
      </c>
      <c r="F6" s="158"/>
      <c r="G6" s="158" t="s">
        <v>19</v>
      </c>
      <c r="H6" s="158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102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C5" sqref="C5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59" t="s">
        <v>117</v>
      </c>
      <c r="C1" s="159"/>
      <c r="D1" s="159"/>
    </row>
    <row r="2" spans="2:10" ht="18" customHeight="1" x14ac:dyDescent="0.25">
      <c r="C2" s="160"/>
      <c r="D2" s="160"/>
      <c r="E2" s="160"/>
      <c r="F2" s="160"/>
    </row>
    <row r="3" spans="2:10" ht="15.75" thickBot="1" x14ac:dyDescent="0.3"/>
    <row r="4" spans="2:10" ht="16.5" thickBot="1" x14ac:dyDescent="0.3">
      <c r="B4" s="161"/>
      <c r="C4" s="170"/>
      <c r="D4" s="171"/>
    </row>
    <row r="5" spans="2:10" ht="16.5" thickBot="1" x14ac:dyDescent="0.3">
      <c r="B5" s="162"/>
      <c r="C5" s="49"/>
      <c r="D5" s="50"/>
      <c r="E5" s="168"/>
      <c r="F5" s="169"/>
    </row>
    <row r="6" spans="2:10" ht="16.5" thickBot="1" x14ac:dyDescent="0.3">
      <c r="B6" s="162"/>
      <c r="C6" s="45"/>
      <c r="D6" s="46"/>
      <c r="E6" s="51"/>
      <c r="F6" s="52"/>
      <c r="G6" s="166"/>
      <c r="H6" s="167"/>
    </row>
    <row r="7" spans="2:10" ht="16.5" thickBot="1" x14ac:dyDescent="0.3">
      <c r="B7" s="163"/>
      <c r="C7" s="57"/>
      <c r="D7" s="40"/>
      <c r="E7" s="53"/>
      <c r="F7" s="40"/>
      <c r="G7" s="43"/>
      <c r="H7" s="54"/>
      <c r="I7" s="164"/>
      <c r="J7" s="165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61" t="s">
        <v>12</v>
      </c>
      <c r="C2" s="172" t="s">
        <v>48</v>
      </c>
      <c r="D2" s="173"/>
      <c r="L2" s="161" t="s">
        <v>16</v>
      </c>
      <c r="M2" s="172" t="s">
        <v>64</v>
      </c>
      <c r="N2" s="173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62"/>
      <c r="C3" s="49">
        <v>5</v>
      </c>
      <c r="D3" s="50">
        <v>28</v>
      </c>
      <c r="E3" s="174" t="s">
        <v>49</v>
      </c>
      <c r="F3" s="175"/>
      <c r="L3" s="162"/>
      <c r="M3" s="49">
        <v>2</v>
      </c>
      <c r="N3" s="50">
        <v>22</v>
      </c>
      <c r="O3" s="174" t="s">
        <v>65</v>
      </c>
      <c r="P3" s="175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62"/>
      <c r="C4" s="45">
        <v>28</v>
      </c>
      <c r="D4" s="46">
        <v>29</v>
      </c>
      <c r="E4" s="47">
        <v>25</v>
      </c>
      <c r="F4" s="48">
        <v>9</v>
      </c>
      <c r="G4" s="176" t="s">
        <v>50</v>
      </c>
      <c r="H4" s="177"/>
      <c r="L4" s="162"/>
      <c r="M4" s="45">
        <v>29</v>
      </c>
      <c r="N4" s="46">
        <v>2</v>
      </c>
      <c r="O4" s="47">
        <v>13</v>
      </c>
      <c r="P4" s="48">
        <v>1</v>
      </c>
      <c r="Q4" s="176" t="s">
        <v>66</v>
      </c>
      <c r="R4" s="177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63"/>
      <c r="C5" s="39">
        <v>2</v>
      </c>
      <c r="D5" s="40">
        <v>30</v>
      </c>
      <c r="E5" s="41">
        <v>7</v>
      </c>
      <c r="F5" s="42">
        <v>28</v>
      </c>
      <c r="G5" s="43">
        <v>18</v>
      </c>
      <c r="H5" s="44">
        <v>27</v>
      </c>
      <c r="I5" s="178" t="s">
        <v>51</v>
      </c>
      <c r="J5" s="179"/>
      <c r="L5" s="163"/>
      <c r="M5" s="39">
        <v>30</v>
      </c>
      <c r="N5" s="40">
        <v>1</v>
      </c>
      <c r="O5" s="41">
        <v>27</v>
      </c>
      <c r="P5" s="42">
        <v>24</v>
      </c>
      <c r="Q5" s="43">
        <v>21</v>
      </c>
      <c r="R5" s="44">
        <v>16</v>
      </c>
      <c r="S5" s="178" t="s">
        <v>67</v>
      </c>
      <c r="T5" s="179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61" t="s">
        <v>13</v>
      </c>
      <c r="C8" s="172" t="s">
        <v>52</v>
      </c>
      <c r="D8" s="173"/>
      <c r="E8" s="38"/>
      <c r="F8" s="38"/>
      <c r="G8" s="38"/>
      <c r="H8" s="38"/>
      <c r="I8" s="38"/>
      <c r="J8" s="38"/>
      <c r="L8" s="161" t="s">
        <v>17</v>
      </c>
      <c r="M8" s="172" t="s">
        <v>68</v>
      </c>
      <c r="N8" s="173"/>
      <c r="O8" s="38"/>
      <c r="P8" s="38"/>
      <c r="Q8" s="38"/>
      <c r="R8" s="38"/>
      <c r="S8" s="38"/>
      <c r="T8" s="38"/>
    </row>
    <row r="9" spans="2:30" ht="16.5" thickBot="1" x14ac:dyDescent="0.3">
      <c r="B9" s="162"/>
      <c r="C9" s="49">
        <v>25</v>
      </c>
      <c r="D9" s="50">
        <v>18</v>
      </c>
      <c r="E9" s="174" t="s">
        <v>53</v>
      </c>
      <c r="F9" s="175"/>
      <c r="G9" s="38"/>
      <c r="H9" s="38"/>
      <c r="I9" s="38"/>
      <c r="J9" s="38"/>
      <c r="L9" s="162"/>
      <c r="M9" s="49">
        <v>15</v>
      </c>
      <c r="N9" s="50">
        <v>6</v>
      </c>
      <c r="O9" s="174" t="s">
        <v>69</v>
      </c>
      <c r="P9" s="175"/>
      <c r="Q9" s="38"/>
      <c r="R9" s="38"/>
      <c r="S9" s="38"/>
      <c r="T9" s="38"/>
    </row>
    <row r="10" spans="2:30" ht="16.5" thickBot="1" x14ac:dyDescent="0.3">
      <c r="B10" s="162"/>
      <c r="C10" s="45">
        <v>23</v>
      </c>
      <c r="D10" s="46">
        <v>27</v>
      </c>
      <c r="E10" s="47">
        <v>6</v>
      </c>
      <c r="F10" s="48">
        <v>3</v>
      </c>
      <c r="G10" s="176" t="s">
        <v>54</v>
      </c>
      <c r="H10" s="177"/>
      <c r="I10" s="38"/>
      <c r="J10" s="38"/>
      <c r="L10" s="162"/>
      <c r="M10" s="45">
        <v>19</v>
      </c>
      <c r="N10" s="46">
        <v>22</v>
      </c>
      <c r="O10" s="47">
        <v>26</v>
      </c>
      <c r="P10" s="48">
        <v>9</v>
      </c>
      <c r="Q10" s="176" t="s">
        <v>70</v>
      </c>
      <c r="R10" s="177"/>
      <c r="S10" s="38"/>
      <c r="T10" s="38"/>
    </row>
    <row r="11" spans="2:30" ht="16.5" thickBot="1" x14ac:dyDescent="0.3">
      <c r="B11" s="163"/>
      <c r="C11" s="39">
        <v>3</v>
      </c>
      <c r="D11" s="40">
        <v>15</v>
      </c>
      <c r="E11" s="41">
        <v>20</v>
      </c>
      <c r="F11" s="42">
        <v>20</v>
      </c>
      <c r="G11" s="43">
        <v>20</v>
      </c>
      <c r="H11" s="44">
        <v>15</v>
      </c>
      <c r="I11" s="178" t="s">
        <v>55</v>
      </c>
      <c r="J11" s="179"/>
      <c r="L11" s="163"/>
      <c r="M11" s="39">
        <v>11</v>
      </c>
      <c r="N11" s="40">
        <v>4</v>
      </c>
      <c r="O11" s="41">
        <v>5</v>
      </c>
      <c r="P11" s="42">
        <v>18</v>
      </c>
      <c r="Q11" s="43">
        <v>21</v>
      </c>
      <c r="R11" s="44">
        <v>28</v>
      </c>
      <c r="S11" s="178" t="s">
        <v>71</v>
      </c>
      <c r="T11" s="179"/>
    </row>
    <row r="13" spans="2:30" ht="15.75" thickBot="1" x14ac:dyDescent="0.3"/>
    <row r="14" spans="2:30" ht="16.5" customHeight="1" thickBot="1" x14ac:dyDescent="0.3">
      <c r="B14" s="161" t="s">
        <v>14</v>
      </c>
      <c r="C14" s="172" t="s">
        <v>56</v>
      </c>
      <c r="D14" s="173"/>
      <c r="E14" s="38"/>
      <c r="F14" s="38"/>
      <c r="G14" s="38"/>
      <c r="H14" s="38"/>
      <c r="I14" s="38"/>
      <c r="J14" s="38"/>
      <c r="L14" s="161" t="s">
        <v>18</v>
      </c>
      <c r="M14" s="172" t="s">
        <v>72</v>
      </c>
      <c r="N14" s="173"/>
      <c r="O14" s="38"/>
      <c r="P14" s="38"/>
      <c r="Q14" s="38"/>
      <c r="R14" s="38"/>
      <c r="S14" s="38"/>
      <c r="T14" s="38"/>
    </row>
    <row r="15" spans="2:30" ht="16.5" thickBot="1" x14ac:dyDescent="0.3">
      <c r="B15" s="162"/>
      <c r="C15" s="49">
        <v>5</v>
      </c>
      <c r="D15" s="50">
        <v>19</v>
      </c>
      <c r="E15" s="174" t="s">
        <v>57</v>
      </c>
      <c r="F15" s="175"/>
      <c r="G15" s="38"/>
      <c r="H15" s="38"/>
      <c r="I15" s="38"/>
      <c r="J15" s="38"/>
      <c r="L15" s="162"/>
      <c r="M15" s="49">
        <v>9</v>
      </c>
      <c r="N15" s="50">
        <v>21</v>
      </c>
      <c r="O15" s="174" t="s">
        <v>73</v>
      </c>
      <c r="P15" s="175"/>
      <c r="Q15" s="38"/>
      <c r="R15" s="38"/>
      <c r="S15" s="38"/>
      <c r="T15" s="38"/>
    </row>
    <row r="16" spans="2:30" ht="16.5" thickBot="1" x14ac:dyDescent="0.3">
      <c r="B16" s="162"/>
      <c r="C16" s="45">
        <v>21</v>
      </c>
      <c r="D16" s="46">
        <v>19</v>
      </c>
      <c r="E16" s="47">
        <v>21</v>
      </c>
      <c r="F16" s="48">
        <v>21</v>
      </c>
      <c r="G16" s="176" t="s">
        <v>58</v>
      </c>
      <c r="H16" s="177"/>
      <c r="I16" s="38"/>
      <c r="J16" s="38"/>
      <c r="L16" s="162"/>
      <c r="M16" s="45">
        <v>6</v>
      </c>
      <c r="N16" s="46">
        <v>29</v>
      </c>
      <c r="O16" s="47">
        <v>28</v>
      </c>
      <c r="P16" s="48">
        <v>18</v>
      </c>
      <c r="Q16" s="176" t="s">
        <v>74</v>
      </c>
      <c r="R16" s="177"/>
      <c r="S16" s="38"/>
      <c r="T16" s="38"/>
    </row>
    <row r="17" spans="2:20" ht="16.5" thickBot="1" x14ac:dyDescent="0.3">
      <c r="B17" s="163"/>
      <c r="C17" s="39">
        <v>29</v>
      </c>
      <c r="D17" s="40">
        <v>8</v>
      </c>
      <c r="E17" s="41">
        <v>17</v>
      </c>
      <c r="F17" s="42">
        <v>14</v>
      </c>
      <c r="G17" s="43">
        <v>9</v>
      </c>
      <c r="H17" s="44">
        <v>30</v>
      </c>
      <c r="I17" s="178" t="s">
        <v>59</v>
      </c>
      <c r="J17" s="179"/>
      <c r="L17" s="163"/>
      <c r="M17" s="39">
        <v>4</v>
      </c>
      <c r="N17" s="40">
        <v>2</v>
      </c>
      <c r="O17" s="41">
        <v>5</v>
      </c>
      <c r="P17" s="42">
        <v>12</v>
      </c>
      <c r="Q17" s="43">
        <v>28</v>
      </c>
      <c r="R17" s="44">
        <v>28</v>
      </c>
      <c r="S17" s="178" t="s">
        <v>75</v>
      </c>
      <c r="T17" s="179"/>
    </row>
    <row r="19" spans="2:20" ht="15.75" thickBot="1" x14ac:dyDescent="0.3"/>
    <row r="20" spans="2:20" ht="16.5" customHeight="1" thickBot="1" x14ac:dyDescent="0.3">
      <c r="B20" s="161" t="s">
        <v>15</v>
      </c>
      <c r="C20" s="172" t="s">
        <v>60</v>
      </c>
      <c r="D20" s="173"/>
      <c r="E20" s="38"/>
      <c r="F20" s="38"/>
      <c r="G20" s="38"/>
      <c r="H20" s="38"/>
      <c r="I20" s="38"/>
      <c r="J20" s="38"/>
      <c r="L20" s="161" t="s">
        <v>19</v>
      </c>
      <c r="M20" s="172" t="s">
        <v>77</v>
      </c>
      <c r="N20" s="173"/>
      <c r="O20" s="38"/>
      <c r="P20" s="38"/>
      <c r="Q20" s="38"/>
      <c r="R20" s="38"/>
      <c r="S20" s="38"/>
      <c r="T20" s="38"/>
    </row>
    <row r="21" spans="2:20" ht="16.5" thickBot="1" x14ac:dyDescent="0.3">
      <c r="B21" s="162"/>
      <c r="C21" s="49">
        <v>15</v>
      </c>
      <c r="D21" s="50">
        <v>27</v>
      </c>
      <c r="E21" s="174" t="s">
        <v>61</v>
      </c>
      <c r="F21" s="175"/>
      <c r="G21" s="38"/>
      <c r="H21" s="38"/>
      <c r="I21" s="38"/>
      <c r="J21" s="38"/>
      <c r="L21" s="162"/>
      <c r="M21" s="49">
        <v>27</v>
      </c>
      <c r="N21" s="50">
        <v>21</v>
      </c>
      <c r="O21" s="174" t="s">
        <v>79</v>
      </c>
      <c r="P21" s="175"/>
      <c r="Q21" s="38"/>
      <c r="R21" s="38"/>
      <c r="S21" s="38"/>
      <c r="T21" s="38"/>
    </row>
    <row r="22" spans="2:20" ht="16.5" thickBot="1" x14ac:dyDescent="0.3">
      <c r="B22" s="162"/>
      <c r="C22" s="45">
        <v>2</v>
      </c>
      <c r="D22" s="46">
        <v>26</v>
      </c>
      <c r="E22" s="47">
        <v>30</v>
      </c>
      <c r="F22" s="48">
        <v>12</v>
      </c>
      <c r="G22" s="176" t="s">
        <v>62</v>
      </c>
      <c r="H22" s="177"/>
      <c r="I22" s="38"/>
      <c r="J22" s="38"/>
      <c r="L22" s="162"/>
      <c r="M22" s="45">
        <v>30</v>
      </c>
      <c r="N22" s="46">
        <v>9</v>
      </c>
      <c r="O22" s="47">
        <v>15</v>
      </c>
      <c r="P22" s="48">
        <v>25</v>
      </c>
      <c r="Q22" s="176" t="s">
        <v>81</v>
      </c>
      <c r="R22" s="177"/>
      <c r="S22" s="38"/>
      <c r="T22" s="38"/>
    </row>
    <row r="23" spans="2:20" ht="16.5" thickBot="1" x14ac:dyDescent="0.3">
      <c r="B23" s="163"/>
      <c r="C23" s="39">
        <v>19</v>
      </c>
      <c r="D23" s="40">
        <v>19</v>
      </c>
      <c r="E23" s="41">
        <v>1</v>
      </c>
      <c r="F23" s="42">
        <v>28</v>
      </c>
      <c r="G23" s="43">
        <v>20</v>
      </c>
      <c r="H23" s="44">
        <v>2</v>
      </c>
      <c r="I23" s="178" t="s">
        <v>63</v>
      </c>
      <c r="J23" s="179"/>
      <c r="L23" s="163"/>
      <c r="M23" s="39">
        <v>24</v>
      </c>
      <c r="N23" s="40">
        <v>22</v>
      </c>
      <c r="O23" s="41">
        <v>11</v>
      </c>
      <c r="P23" s="42">
        <v>30</v>
      </c>
      <c r="Q23" s="43">
        <v>4</v>
      </c>
      <c r="R23" s="44">
        <v>10</v>
      </c>
      <c r="S23" s="178" t="s">
        <v>83</v>
      </c>
      <c r="T23" s="179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/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83" t="s">
        <v>132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22"/>
    </row>
    <row r="2" spans="1:23" ht="15.75" x14ac:dyDescent="0.25">
      <c r="A2" s="9"/>
      <c r="B2" s="182" t="s">
        <v>8</v>
      </c>
      <c r="C2" s="182"/>
      <c r="D2" s="10"/>
      <c r="E2" s="182" t="s">
        <v>4</v>
      </c>
      <c r="F2" s="182"/>
      <c r="G2" s="10"/>
      <c r="H2" s="182" t="s">
        <v>3</v>
      </c>
      <c r="I2" s="182"/>
      <c r="J2" s="10"/>
      <c r="K2" s="182" t="s">
        <v>5</v>
      </c>
      <c r="L2" s="182"/>
      <c r="M2" s="182"/>
      <c r="N2" s="10"/>
      <c r="O2" s="182" t="s">
        <v>2</v>
      </c>
      <c r="P2" s="182"/>
      <c r="Q2" s="10"/>
      <c r="R2" s="182" t="s">
        <v>1</v>
      </c>
      <c r="S2" s="182"/>
      <c r="T2" s="10"/>
      <c r="U2" s="182" t="s">
        <v>0</v>
      </c>
      <c r="V2" s="182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51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>team 4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55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64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57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>team 10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>team 29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77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62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>team 15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73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49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71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83</v>
      </c>
      <c r="M29" s="18"/>
      <c r="N29" s="13"/>
      <c r="O29" s="21"/>
      <c r="P29" s="12"/>
      <c r="Q29" s="16"/>
      <c r="R29" s="21"/>
      <c r="S29" s="12"/>
      <c r="T29" s="12"/>
      <c r="U29" s="180" t="s">
        <v>6</v>
      </c>
      <c r="V29" s="181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>team 18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65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77" priority="2">
      <formula>$B$18&gt;$B$19</formula>
    </cfRule>
  </conditionalFormatting>
  <conditionalFormatting sqref="C19">
    <cfRule type="expression" dxfId="76" priority="1">
      <formula>$B$19&gt;$B$18</formula>
    </cfRule>
  </conditionalFormatting>
  <conditionalFormatting sqref="U18">
    <cfRule type="expression" dxfId="75" priority="6">
      <formula>$V$18&gt;$V$19</formula>
    </cfRule>
  </conditionalFormatting>
  <conditionalFormatting sqref="U19">
    <cfRule type="expression" dxfId="74" priority="4">
      <formula>$V$19&gt;$V$18</formula>
    </cfRule>
  </conditionalFormatting>
  <conditionalFormatting sqref="U30">
    <cfRule type="expression" dxfId="73" priority="5">
      <formula>$V$30&gt;$V$31</formula>
    </cfRule>
  </conditionalFormatting>
  <conditionalFormatting sqref="U31">
    <cfRule type="expression" dxfId="7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83" t="s">
        <v>133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22"/>
    </row>
    <row r="2" spans="1:23" ht="15.75" x14ac:dyDescent="0.25">
      <c r="A2" s="9"/>
      <c r="B2" s="182" t="s">
        <v>8</v>
      </c>
      <c r="C2" s="182"/>
      <c r="D2" s="10"/>
      <c r="E2" s="182" t="s">
        <v>4</v>
      </c>
      <c r="F2" s="182"/>
      <c r="G2" s="10"/>
      <c r="H2" s="182" t="s">
        <v>3</v>
      </c>
      <c r="I2" s="182"/>
      <c r="J2" s="10"/>
      <c r="K2" s="182" t="s">
        <v>5</v>
      </c>
      <c r="L2" s="182"/>
      <c r="M2" s="182"/>
      <c r="N2" s="10"/>
      <c r="O2" s="182" t="s">
        <v>2</v>
      </c>
      <c r="P2" s="182"/>
      <c r="Q2" s="10"/>
      <c r="R2" s="182" t="s">
        <v>1</v>
      </c>
      <c r="S2" s="182"/>
      <c r="T2" s="10"/>
      <c r="U2" s="182" t="s">
        <v>0</v>
      </c>
      <c r="V2" s="182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68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>team 21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59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52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61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>team 14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>team 28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75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54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>team 7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63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50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74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70</v>
      </c>
      <c r="M29" s="18"/>
      <c r="N29" s="13"/>
      <c r="O29" s="21"/>
      <c r="P29" s="12"/>
      <c r="Q29" s="16"/>
      <c r="R29" s="21"/>
      <c r="S29" s="12"/>
      <c r="T29" s="12"/>
      <c r="U29" s="180" t="s">
        <v>6</v>
      </c>
      <c r="V29" s="181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>team 9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56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47" priority="2">
      <formula>$B$18&gt;$B$19</formula>
    </cfRule>
  </conditionalFormatting>
  <conditionalFormatting sqref="C19">
    <cfRule type="expression" dxfId="46" priority="1">
      <formula>$B$19&gt;$B$18</formula>
    </cfRule>
  </conditionalFormatting>
  <conditionalFormatting sqref="U18">
    <cfRule type="expression" dxfId="45" priority="6">
      <formula>$V$18&gt;$V$19</formula>
    </cfRule>
  </conditionalFormatting>
  <conditionalFormatting sqref="U19">
    <cfRule type="expression" dxfId="44" priority="4">
      <formula>$V$19&gt;$V$18</formula>
    </cfRule>
  </conditionalFormatting>
  <conditionalFormatting sqref="U30">
    <cfRule type="expression" dxfId="43" priority="5">
      <formula>$V$30&gt;$V$31</formula>
    </cfRule>
  </conditionalFormatting>
  <conditionalFormatting sqref="U31">
    <cfRule type="expression" dxfId="4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83" t="s">
        <v>134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22"/>
    </row>
    <row r="2" spans="1:23" ht="15.75" x14ac:dyDescent="0.25">
      <c r="A2" s="9"/>
      <c r="B2" s="182" t="s">
        <v>8</v>
      </c>
      <c r="C2" s="182"/>
      <c r="D2" s="10"/>
      <c r="E2" s="182" t="s">
        <v>4</v>
      </c>
      <c r="F2" s="182"/>
      <c r="G2" s="10"/>
      <c r="H2" s="182" t="s">
        <v>3</v>
      </c>
      <c r="I2" s="182"/>
      <c r="J2" s="10"/>
      <c r="K2" s="182" t="s">
        <v>5</v>
      </c>
      <c r="L2" s="182"/>
      <c r="M2" s="182"/>
      <c r="N2" s="10"/>
      <c r="O2" s="182" t="s">
        <v>2</v>
      </c>
      <c r="P2" s="182"/>
      <c r="Q2" s="10"/>
      <c r="R2" s="182" t="s">
        <v>1</v>
      </c>
      <c r="S2" s="182"/>
      <c r="T2" s="10"/>
      <c r="U2" s="182" t="s">
        <v>0</v>
      </c>
      <c r="V2" s="182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81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>team 31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60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48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58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>team 11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>team 22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69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53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>team 6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>team 30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79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135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67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72</v>
      </c>
      <c r="M29" s="18"/>
      <c r="N29" s="13"/>
      <c r="O29" s="21"/>
      <c r="P29" s="12"/>
      <c r="Q29" s="16"/>
      <c r="R29" s="21"/>
      <c r="S29" s="12"/>
      <c r="T29" s="12"/>
      <c r="U29" s="180" t="s">
        <v>6</v>
      </c>
      <c r="V29" s="181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>team 19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66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35</v>
      </c>
      <c r="C2" s="75">
        <f>B7+B8+B9+C7+C8+C9</f>
        <v>122</v>
      </c>
      <c r="D2" s="76">
        <f>IFERROR(B2/C2,"")</f>
        <v>0.28688524590163933</v>
      </c>
      <c r="E2" s="77">
        <f>IF(LEN(D2)=0,"",COUNTIF($E$7:$E$12,A2))</f>
        <v>0</v>
      </c>
      <c r="F2" s="65" t="str" cm="1">
        <f t="array" ref="F2:F5">Pools!$D$2:$D$5</f>
        <v>team 5</v>
      </c>
      <c r="G2" s="75">
        <f>G7+G8+G9</f>
        <v>51</v>
      </c>
      <c r="H2" s="75">
        <f>G7+G8+G9+H7+H8+H9</f>
        <v>111</v>
      </c>
      <c r="I2" s="76">
        <f>IFERROR(G2/H2,"")</f>
        <v>0.45945945945945948</v>
      </c>
      <c r="J2" s="77">
        <f>IF(LEN(I2)=0,"",COUNTIF($J$7:$J$12,F2))</f>
        <v>1</v>
      </c>
      <c r="K2" s="65" t="str" cm="1">
        <f t="array" ref="K2:K5">Pools!$F$2:$F$5</f>
        <v>team 9</v>
      </c>
      <c r="L2" s="75">
        <f>L7+L8+L9</f>
        <v>55</v>
      </c>
      <c r="M2" s="75">
        <f>L7+L8+L9+M7+M8+M9</f>
        <v>101</v>
      </c>
      <c r="N2" s="76">
        <f>IFERROR(L2/M2,"")</f>
        <v>0.54455445544554459</v>
      </c>
      <c r="O2" s="77">
        <f>IF(LEN(N2)=0,"",COUNTIF($O$7:$O$12,K2))</f>
        <v>2</v>
      </c>
      <c r="P2" s="65" t="str" cm="1">
        <f t="array" ref="P2:P5">Pools!$H$2:$H$5</f>
        <v>team 13</v>
      </c>
      <c r="Q2" s="75">
        <f>Q7+Q8+Q9</f>
        <v>36</v>
      </c>
      <c r="R2" s="75">
        <f>Q7+Q8+Q9+R7+R8+R9</f>
        <v>108</v>
      </c>
      <c r="S2" s="76">
        <f>IFERROR(Q2/R2,"")</f>
        <v>0.33333333333333331</v>
      </c>
      <c r="T2" s="77">
        <f>IF(LEN(S2)=0,"",COUNTIF($T$7:$T$12,P2))</f>
        <v>0</v>
      </c>
    </row>
    <row r="3" spans="1:20" x14ac:dyDescent="0.25">
      <c r="A3" s="66" t="str">
        <v>team 2</v>
      </c>
      <c r="B3" s="75">
        <f>B10+B11+C7</f>
        <v>60</v>
      </c>
      <c r="C3" s="75">
        <f>B7+C7+B10+C10+B11+C11</f>
        <v>102</v>
      </c>
      <c r="D3" s="76">
        <f>IFERROR(B3/C3,"")</f>
        <v>0.58823529411764708</v>
      </c>
      <c r="E3" s="78">
        <f>IF(LEN(D3)=0,"",COUNTIF($E$7:$E$12,A3))</f>
        <v>2</v>
      </c>
      <c r="F3" s="66" t="str">
        <v>team 6</v>
      </c>
      <c r="G3" s="75">
        <f>G10+G11+H7</f>
        <v>44</v>
      </c>
      <c r="H3" s="75">
        <f>G7+H7+G10+H10+G11+H11</f>
        <v>92</v>
      </c>
      <c r="I3" s="76">
        <f>IFERROR(G3/H3,"")</f>
        <v>0.47826086956521741</v>
      </c>
      <c r="J3" s="78">
        <f>IF(LEN(I3)=0,"",COUNTIF($J$7:$J$12,F3))</f>
        <v>1</v>
      </c>
      <c r="K3" s="66" t="str">
        <v>team 10</v>
      </c>
      <c r="L3" s="75">
        <f>L10+L11+M7</f>
        <v>57</v>
      </c>
      <c r="M3" s="75">
        <f>L7+M7+L10+M10+L11+M11</f>
        <v>97</v>
      </c>
      <c r="N3" s="76">
        <f>IFERROR(L3/M3,"")</f>
        <v>0.58762886597938147</v>
      </c>
      <c r="O3" s="78">
        <f>IF(LEN(N3)=0,"",COUNTIF($O$7:$O$12,K3))</f>
        <v>2</v>
      </c>
      <c r="P3" s="66" t="str">
        <v>team 14</v>
      </c>
      <c r="Q3" s="75">
        <f>Q10+Q11+R7</f>
        <v>58</v>
      </c>
      <c r="R3" s="75">
        <f>Q7+R7+Q10+R10+Q11+R11</f>
        <v>113</v>
      </c>
      <c r="S3" s="76">
        <f>IFERROR(Q3/R3,"")</f>
        <v>0.51327433628318586</v>
      </c>
      <c r="T3" s="78">
        <f>IF(LEN(S3)=0,"",COUNTIF($T$7:$T$12,P3))</f>
        <v>2</v>
      </c>
    </row>
    <row r="4" spans="1:20" x14ac:dyDescent="0.25">
      <c r="A4" s="66" t="str">
        <v>team 3</v>
      </c>
      <c r="B4" s="75">
        <f>B12+C8+C10</f>
        <v>56</v>
      </c>
      <c r="C4" s="75">
        <f>B8+C8+B10+C10+B12+C12</f>
        <v>136</v>
      </c>
      <c r="D4" s="76">
        <f>IFERROR(B4/C4,"")</f>
        <v>0.41176470588235292</v>
      </c>
      <c r="E4" s="78">
        <f>IF(LEN(D4)=0,"",COUNTIF($E$7:$E$12,A4))</f>
        <v>1</v>
      </c>
      <c r="F4" s="66" t="str">
        <v>team 7</v>
      </c>
      <c r="G4" s="75">
        <f>G12+H8+H10</f>
        <v>50</v>
      </c>
      <c r="H4" s="75">
        <f>G8+H8+G10+H10+G12+H12</f>
        <v>94</v>
      </c>
      <c r="I4" s="76">
        <f>IFERROR(G4/H4,"")</f>
        <v>0.53191489361702127</v>
      </c>
      <c r="J4" s="78">
        <f>IF(LEN(I4)=0,"",COUNTIF($J$7:$J$12,F4))</f>
        <v>2</v>
      </c>
      <c r="K4" s="66" t="str">
        <v>team 11</v>
      </c>
      <c r="L4" s="75">
        <f>L12+M8+M10</f>
        <v>49</v>
      </c>
      <c r="M4" s="75">
        <f>L8+M8+L10+M10+L12+M12</f>
        <v>121</v>
      </c>
      <c r="N4" s="76">
        <f>IFERROR(L4/M4,"")</f>
        <v>0.4049586776859504</v>
      </c>
      <c r="O4" s="78">
        <f>IF(LEN(N4)=0,"",COUNTIF($O$7:$O$12,K4))</f>
        <v>1</v>
      </c>
      <c r="P4" s="66" t="str">
        <v>team 15</v>
      </c>
      <c r="Q4" s="75">
        <f>Q12+R8+R10</f>
        <v>58</v>
      </c>
      <c r="R4" s="75">
        <f>Q8+R8+Q10+R10+Q12+R12</f>
        <v>92</v>
      </c>
      <c r="S4" s="76">
        <f>IFERROR(Q4/R4,"")</f>
        <v>0.63043478260869568</v>
      </c>
      <c r="T4" s="78">
        <f>IF(LEN(S4)=0,"",COUNTIF($T$7:$T$12,P4))</f>
        <v>2</v>
      </c>
    </row>
    <row r="5" spans="1:20" x14ac:dyDescent="0.25">
      <c r="A5" s="67" t="str">
        <v>team 4</v>
      </c>
      <c r="B5" s="75">
        <f>C9+C11+C12</f>
        <v>85</v>
      </c>
      <c r="C5" s="75">
        <f>B9+C9+B11+C11+B12+C12</f>
        <v>112</v>
      </c>
      <c r="D5" s="76">
        <f>IFERROR(B5/C5,"")</f>
        <v>0.7589285714285714</v>
      </c>
      <c r="E5" s="79">
        <f>IF(LEN(D5)=0,"",COUNTIF($E$7:$E$12,A5))</f>
        <v>3</v>
      </c>
      <c r="F5" s="67" t="str">
        <v>team 8</v>
      </c>
      <c r="G5" s="75">
        <f>H9+H11+H12</f>
        <v>50</v>
      </c>
      <c r="H5" s="75">
        <f>G9+H9+G11+H11+G12+H12</f>
        <v>93</v>
      </c>
      <c r="I5" s="76">
        <f>IFERROR(G5/H5,"")</f>
        <v>0.5376344086021505</v>
      </c>
      <c r="J5" s="79">
        <f>IF(LEN(I5)=0,"",COUNTIF($J$7:$J$12,F5))</f>
        <v>2</v>
      </c>
      <c r="K5" s="67" t="str">
        <v>team 12</v>
      </c>
      <c r="L5" s="75">
        <f>M9+M11+M12</f>
        <v>52</v>
      </c>
      <c r="M5" s="75">
        <f>L9+M9+L11+M11+L12+M12</f>
        <v>107</v>
      </c>
      <c r="N5" s="76">
        <f>IFERROR(L5/M5,"")</f>
        <v>0.48598130841121495</v>
      </c>
      <c r="O5" s="79">
        <f>IF(LEN(N5)=0,"",COUNTIF($O$7:$O$12,K5))</f>
        <v>1</v>
      </c>
      <c r="P5" s="67" t="str">
        <v>team 16</v>
      </c>
      <c r="Q5" s="75">
        <f>R9+R11+R12</f>
        <v>49</v>
      </c>
      <c r="R5" s="75">
        <f>Q9+R9+Q11+R11+Q12+R12</f>
        <v>89</v>
      </c>
      <c r="S5" s="76">
        <f>IFERROR(Q5/R5,"")</f>
        <v>0.550561797752809</v>
      </c>
      <c r="T5" s="79">
        <f>IF(LEN(S5)=0,"",COUNTIF($T$7:$T$12,P5))</f>
        <v>2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5</v>
      </c>
      <c r="C7" s="84">
        <f>'Pool Scores'!D3</f>
        <v>28</v>
      </c>
      <c r="D7" t="str">
        <f>A3</f>
        <v>team 2</v>
      </c>
      <c r="E7" s="80" t="str">
        <f t="shared" ref="E7:E12" si="0">IF(OR(LEN(B7)=0,LEN(C7)=0),"",IF(B7&gt;C7,A7,D7))</f>
        <v>team 2</v>
      </c>
      <c r="F7" s="70" t="str">
        <f>F2</f>
        <v>team 5</v>
      </c>
      <c r="G7" s="75">
        <f>'Pool Scores'!C9</f>
        <v>25</v>
      </c>
      <c r="H7" s="84">
        <f>'Pool Scores'!D9</f>
        <v>18</v>
      </c>
      <c r="I7" t="str">
        <f>F3</f>
        <v>team 6</v>
      </c>
      <c r="J7" s="80" t="str">
        <f t="shared" ref="J7:J12" si="1">IF(OR(LEN(G7)=0,LEN(H7)=0),"",IF(G7&gt;H7,F7,I7))</f>
        <v>team 5</v>
      </c>
      <c r="K7" s="70" t="str">
        <f>K2</f>
        <v>team 9</v>
      </c>
      <c r="L7" s="75">
        <f>'Pool Scores'!C15</f>
        <v>5</v>
      </c>
      <c r="M7" s="84">
        <f>'Pool Scores'!D15</f>
        <v>19</v>
      </c>
      <c r="N7" t="str">
        <f>K3</f>
        <v>team 10</v>
      </c>
      <c r="O7" s="80" t="str">
        <f t="shared" ref="O7:O12" si="2">IF(OR(LEN(L7)=0,LEN(M7)=0),"",IF(L7&gt;M7,K7,N7))</f>
        <v>team 10</v>
      </c>
      <c r="P7" s="70" t="str">
        <f>P2</f>
        <v>team 13</v>
      </c>
      <c r="Q7" s="75">
        <f>'Pool Scores'!C21</f>
        <v>15</v>
      </c>
      <c r="R7" s="84">
        <f>'Pool Scores'!D21</f>
        <v>27</v>
      </c>
      <c r="S7" t="str">
        <f>P3</f>
        <v>team 14</v>
      </c>
      <c r="T7" s="80" t="str">
        <f t="shared" ref="T7:T12" si="3"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28</v>
      </c>
      <c r="C8" s="84">
        <f>'Pool Scores'!D4</f>
        <v>29</v>
      </c>
      <c r="D8" t="str">
        <f>A4</f>
        <v>team 3</v>
      </c>
      <c r="E8" s="81" t="str">
        <f t="shared" si="0"/>
        <v>team 3</v>
      </c>
      <c r="F8" s="70" t="str">
        <f>F2</f>
        <v>team 5</v>
      </c>
      <c r="G8" s="75">
        <f>'Pool Scores'!C10</f>
        <v>23</v>
      </c>
      <c r="H8" s="84">
        <f>'Pool Scores'!D10</f>
        <v>27</v>
      </c>
      <c r="I8" t="str">
        <f>F4</f>
        <v>team 7</v>
      </c>
      <c r="J8" s="81" t="str">
        <f t="shared" si="1"/>
        <v>team 7</v>
      </c>
      <c r="K8" s="70" t="str">
        <f>K2</f>
        <v>team 9</v>
      </c>
      <c r="L8" s="75">
        <f>'Pool Scores'!C16</f>
        <v>21</v>
      </c>
      <c r="M8" s="84">
        <f>'Pool Scores'!D16</f>
        <v>19</v>
      </c>
      <c r="N8" t="str">
        <f>K4</f>
        <v>team 11</v>
      </c>
      <c r="O8" s="81" t="str">
        <f t="shared" si="2"/>
        <v>team 9</v>
      </c>
      <c r="P8" s="70" t="str">
        <f>P2</f>
        <v>team 13</v>
      </c>
      <c r="Q8" s="75">
        <f>'Pool Scores'!C22</f>
        <v>2</v>
      </c>
      <c r="R8" s="84">
        <f>'Pool Scores'!D22</f>
        <v>26</v>
      </c>
      <c r="S8" t="str">
        <f>P4</f>
        <v>team 15</v>
      </c>
      <c r="T8" s="81" t="str">
        <f t="shared" si="3"/>
        <v>team 15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30</v>
      </c>
      <c r="D9" t="str">
        <f>A5</f>
        <v>team 4</v>
      </c>
      <c r="E9" s="81" t="str">
        <f t="shared" si="0"/>
        <v>team 4</v>
      </c>
      <c r="F9" s="70" t="str">
        <f>F2</f>
        <v>team 5</v>
      </c>
      <c r="G9" s="75">
        <f>'Pool Scores'!C11</f>
        <v>3</v>
      </c>
      <c r="H9" s="84">
        <f>'Pool Scores'!D11</f>
        <v>15</v>
      </c>
      <c r="I9" t="str">
        <f>F5</f>
        <v>team 8</v>
      </c>
      <c r="J9" s="81" t="str">
        <f t="shared" si="1"/>
        <v>team 8</v>
      </c>
      <c r="K9" s="70" t="str">
        <f>K2</f>
        <v>team 9</v>
      </c>
      <c r="L9" s="75">
        <f>'Pool Scores'!C17</f>
        <v>29</v>
      </c>
      <c r="M9" s="84">
        <f>'Pool Scores'!D17</f>
        <v>8</v>
      </c>
      <c r="N9" t="str">
        <f>K5</f>
        <v>team 12</v>
      </c>
      <c r="O9" s="81" t="str">
        <f t="shared" si="2"/>
        <v>team 9</v>
      </c>
      <c r="P9" s="70" t="str">
        <f>P2</f>
        <v>team 13</v>
      </c>
      <c r="Q9" s="75">
        <f>'Pool Scores'!C23</f>
        <v>19</v>
      </c>
      <c r="R9" s="84">
        <f>'Pool Scores'!D23</f>
        <v>19</v>
      </c>
      <c r="S9" t="str">
        <f>P5</f>
        <v>team 16</v>
      </c>
      <c r="T9" s="81" t="str">
        <f t="shared" si="3"/>
        <v>team 16</v>
      </c>
    </row>
    <row r="10" spans="1:20" x14ac:dyDescent="0.25">
      <c r="A10" s="70" t="str">
        <f>A3</f>
        <v>team 2</v>
      </c>
      <c r="B10" s="75">
        <f>'Pool Scores'!E4</f>
        <v>25</v>
      </c>
      <c r="C10" s="84">
        <f>'Pool Scores'!F4</f>
        <v>9</v>
      </c>
      <c r="D10" t="str">
        <f>A4</f>
        <v>team 3</v>
      </c>
      <c r="E10" s="81" t="str">
        <f t="shared" si="0"/>
        <v>team 2</v>
      </c>
      <c r="F10" s="70" t="str">
        <f>F3</f>
        <v>team 6</v>
      </c>
      <c r="G10" s="75">
        <f>'Pool Scores'!E10</f>
        <v>6</v>
      </c>
      <c r="H10" s="84">
        <f>'Pool Scores'!F10</f>
        <v>3</v>
      </c>
      <c r="I10" t="str">
        <f>F4</f>
        <v>team 7</v>
      </c>
      <c r="J10" s="81" t="str">
        <f t="shared" si="1"/>
        <v>team 6</v>
      </c>
      <c r="K10" s="70" t="str">
        <f>K3</f>
        <v>team 10</v>
      </c>
      <c r="L10" s="75">
        <f>'Pool Scores'!E16</f>
        <v>21</v>
      </c>
      <c r="M10" s="84">
        <f>'Pool Scores'!F16</f>
        <v>21</v>
      </c>
      <c r="N10" t="str">
        <f>K4</f>
        <v>team 11</v>
      </c>
      <c r="O10" s="81" t="str">
        <f t="shared" si="2"/>
        <v>team 11</v>
      </c>
      <c r="P10" s="70" t="str">
        <f>P3</f>
        <v>team 14</v>
      </c>
      <c r="Q10" s="75">
        <f>'Pool Scores'!E22</f>
        <v>30</v>
      </c>
      <c r="R10" s="84">
        <f>'Pool Scores'!F22</f>
        <v>12</v>
      </c>
      <c r="S10" t="str">
        <f>P4</f>
        <v>team 15</v>
      </c>
      <c r="T10" s="81" t="str">
        <f t="shared" si="3"/>
        <v>team 14</v>
      </c>
    </row>
    <row r="11" spans="1:20" x14ac:dyDescent="0.25">
      <c r="A11" s="70" t="str">
        <f>A3</f>
        <v>team 2</v>
      </c>
      <c r="B11" s="75">
        <f>'Pool Scores'!E5</f>
        <v>7</v>
      </c>
      <c r="C11" s="84">
        <f>'Pool Scores'!F5</f>
        <v>28</v>
      </c>
      <c r="D11" t="str">
        <f>A5</f>
        <v>team 4</v>
      </c>
      <c r="E11" s="81" t="str">
        <f t="shared" si="0"/>
        <v>team 4</v>
      </c>
      <c r="F11" s="70" t="str">
        <f>F3</f>
        <v>team 6</v>
      </c>
      <c r="G11" s="75">
        <f>'Pool Scores'!E11</f>
        <v>20</v>
      </c>
      <c r="H11" s="84">
        <f>'Pool Scores'!F11</f>
        <v>20</v>
      </c>
      <c r="I11" t="str">
        <f>F5</f>
        <v>team 8</v>
      </c>
      <c r="J11" s="81" t="str">
        <f t="shared" si="1"/>
        <v>team 8</v>
      </c>
      <c r="K11" s="70" t="str">
        <f>K3</f>
        <v>team 10</v>
      </c>
      <c r="L11" s="75">
        <f>'Pool Scores'!E17</f>
        <v>17</v>
      </c>
      <c r="M11" s="84">
        <f>'Pool Scores'!F17</f>
        <v>14</v>
      </c>
      <c r="N11" t="str">
        <f>K5</f>
        <v>team 12</v>
      </c>
      <c r="O11" s="81" t="str">
        <f t="shared" si="2"/>
        <v>team 10</v>
      </c>
      <c r="P11" s="70" t="str">
        <f>P3</f>
        <v>team 14</v>
      </c>
      <c r="Q11" s="75">
        <f>'Pool Scores'!E23</f>
        <v>1</v>
      </c>
      <c r="R11" s="84">
        <f>'Pool Scores'!F23</f>
        <v>28</v>
      </c>
      <c r="S11" t="str">
        <f>P5</f>
        <v>team 16</v>
      </c>
      <c r="T11" s="81" t="str">
        <f t="shared" si="3"/>
        <v>team 16</v>
      </c>
    </row>
    <row r="12" spans="1:20" x14ac:dyDescent="0.25">
      <c r="A12" s="70" t="str">
        <f>A4</f>
        <v>team 3</v>
      </c>
      <c r="B12" s="75">
        <f>'Pool Scores'!G5</f>
        <v>18</v>
      </c>
      <c r="C12" s="84">
        <f>'Pool Scores'!H5</f>
        <v>27</v>
      </c>
      <c r="D12" t="str">
        <f>A5</f>
        <v>team 4</v>
      </c>
      <c r="E12" s="82" t="str">
        <f t="shared" si="0"/>
        <v>team 4</v>
      </c>
      <c r="F12" s="70" t="str">
        <f>F4</f>
        <v>team 7</v>
      </c>
      <c r="G12" s="75">
        <f>'Pool Scores'!G11</f>
        <v>20</v>
      </c>
      <c r="H12" s="84">
        <f>'Pool Scores'!H11</f>
        <v>15</v>
      </c>
      <c r="I12" t="str">
        <f>F5</f>
        <v>team 8</v>
      </c>
      <c r="J12" s="82" t="str">
        <f t="shared" si="1"/>
        <v>team 7</v>
      </c>
      <c r="K12" s="70" t="str">
        <f>K4</f>
        <v>team 11</v>
      </c>
      <c r="L12" s="75">
        <f>'Pool Scores'!G17</f>
        <v>9</v>
      </c>
      <c r="M12" s="84">
        <f>'Pool Scores'!H17</f>
        <v>30</v>
      </c>
      <c r="N12" t="str">
        <f>K5</f>
        <v>team 12</v>
      </c>
      <c r="O12" s="82" t="str">
        <f t="shared" si="2"/>
        <v>team 12</v>
      </c>
      <c r="P12" s="70" t="str">
        <f>P4</f>
        <v>team 15</v>
      </c>
      <c r="Q12" s="75">
        <f>'Pool Scores'!G23</f>
        <v>20</v>
      </c>
      <c r="R12" s="84">
        <f>'Pool Scores'!H23</f>
        <v>2</v>
      </c>
      <c r="S12" t="str">
        <f>P5</f>
        <v>team 16</v>
      </c>
      <c r="T12" s="82" t="str">
        <f t="shared" si="3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0.7589285714285714</v>
      </c>
      <c r="C14">
        <f>4+B14</f>
        <v>4.7589285714285712</v>
      </c>
      <c r="E14" s="71"/>
      <c r="F14" s="70" t="str" cm="1">
        <f t="array" ref="F14:F17">_xlfn.SORTBY(F2:F5,J2:J5,-1,G2:G5,-1,I2:I5,-1)</f>
        <v>team 8</v>
      </c>
      <c r="G14" s="85" cm="1">
        <f t="array" ref="G14">_xlfn.XLOOKUP(F14,_xlfn.ANCHORARRAY(F2),I2:I5,"")</f>
        <v>0.5376344086021505</v>
      </c>
      <c r="H14">
        <f>4+G14</f>
        <v>4.5376344086021501</v>
      </c>
      <c r="J14" s="71"/>
      <c r="K14" s="70" t="str" cm="1">
        <f t="array" ref="K14:K17">_xlfn.SORTBY(K2:K5,O2:O5,-1,L2:L5,-1,N2:N5,-1)</f>
        <v>team 10</v>
      </c>
      <c r="L14" s="85" cm="1">
        <f t="array" ref="L14">_xlfn.XLOOKUP(K14,_xlfn.ANCHORARRAY(K2),N2:N5,"")</f>
        <v>0.58762886597938147</v>
      </c>
      <c r="M14">
        <f>4+L14</f>
        <v>4.5876288659793811</v>
      </c>
      <c r="O14" s="71"/>
      <c r="P14" s="70" t="str" cm="1">
        <f t="array" ref="P14:P17">_xlfn.SORTBY(P2:P5,T2:T5,-1,Q2:Q5,-1,S2:S5,-1)</f>
        <v>team 15</v>
      </c>
      <c r="Q14" s="85" cm="1">
        <f t="array" ref="Q14">_xlfn.XLOOKUP(P14,_xlfn.ANCHORARRAY(P2),S2:S5,"")</f>
        <v>0.63043478260869568</v>
      </c>
      <c r="R14">
        <f>4+Q14</f>
        <v>4.6304347826086953</v>
      </c>
      <c r="T14" s="71"/>
    </row>
    <row r="15" spans="1:20" x14ac:dyDescent="0.25">
      <c r="A15" s="70" t="str">
        <v>team 2</v>
      </c>
      <c r="B15" s="85" cm="1">
        <f t="array" ref="B15">_xlfn.XLOOKUP(A15,_xlfn.ANCHORARRAY(A2),D2:D5,"")</f>
        <v>0.58823529411764708</v>
      </c>
      <c r="C15">
        <f>3+B15</f>
        <v>3.5882352941176472</v>
      </c>
      <c r="E15" s="71"/>
      <c r="F15" s="70" t="str">
        <v>team 7</v>
      </c>
      <c r="G15" s="85" cm="1">
        <f t="array" ref="G15">_xlfn.XLOOKUP(F15,_xlfn.ANCHORARRAY(F2),I2:I5,"")</f>
        <v>0.53191489361702127</v>
      </c>
      <c r="H15">
        <f>3+G15</f>
        <v>3.5319148936170213</v>
      </c>
      <c r="J15" s="71"/>
      <c r="K15" s="70" t="str">
        <v>team 9</v>
      </c>
      <c r="L15" s="85" cm="1">
        <f t="array" ref="L15">_xlfn.XLOOKUP(K15,_xlfn.ANCHORARRAY(K2),N2:N5,"")</f>
        <v>0.54455445544554459</v>
      </c>
      <c r="M15">
        <f>3+L15</f>
        <v>3.5445544554455446</v>
      </c>
      <c r="O15" s="71"/>
      <c r="P15" s="70" t="str">
        <v>team 14</v>
      </c>
      <c r="Q15" s="85" cm="1">
        <f t="array" ref="Q15">_xlfn.XLOOKUP(P15,_xlfn.ANCHORARRAY(P2),S2:S5,"")</f>
        <v>0.51327433628318586</v>
      </c>
      <c r="R15">
        <f>3+Q15</f>
        <v>3.5132743362831858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0.41176470588235292</v>
      </c>
      <c r="C16">
        <f>2+B16</f>
        <v>2.4117647058823528</v>
      </c>
      <c r="E16" s="71"/>
      <c r="F16" s="70" t="str">
        <v>team 5</v>
      </c>
      <c r="G16" s="85" cm="1">
        <f t="array" ref="G16">_xlfn.XLOOKUP(F16,_xlfn.ANCHORARRAY(F2),I2:I5,"")</f>
        <v>0.45945945945945948</v>
      </c>
      <c r="H16">
        <f>2+G16</f>
        <v>2.4594594594594597</v>
      </c>
      <c r="J16" s="71"/>
      <c r="K16" s="70" t="str">
        <v>team 12</v>
      </c>
      <c r="L16" s="85" cm="1">
        <f t="array" ref="L16">_xlfn.XLOOKUP(K16,_xlfn.ANCHORARRAY(K2),N2:N5,"")</f>
        <v>0.48598130841121495</v>
      </c>
      <c r="M16">
        <f>2+L16</f>
        <v>2.485981308411215</v>
      </c>
      <c r="O16" s="71"/>
      <c r="P16" s="70" t="str">
        <v>team 16</v>
      </c>
      <c r="Q16" s="85" cm="1">
        <f t="array" ref="Q16">_xlfn.XLOOKUP(P16,_xlfn.ANCHORARRAY(P2),S2:S5,"")</f>
        <v>0.550561797752809</v>
      </c>
      <c r="R16">
        <f>2+Q16</f>
        <v>2.5505617977528088</v>
      </c>
      <c r="T16" s="71"/>
    </row>
    <row r="17" spans="1:20" ht="15.75" thickBot="1" x14ac:dyDescent="0.3">
      <c r="A17" s="72" t="str">
        <v>team 1</v>
      </c>
      <c r="B17" s="86" cm="1">
        <f t="array" ref="B17">_xlfn.XLOOKUP(A17,_xlfn.ANCHORARRAY(A2),D2:D5,"")</f>
        <v>0.28688524590163933</v>
      </c>
      <c r="C17" s="73">
        <f>1+B17</f>
        <v>1.2868852459016393</v>
      </c>
      <c r="D17" s="73"/>
      <c r="E17" s="74"/>
      <c r="F17" s="72" t="str">
        <v>team 6</v>
      </c>
      <c r="G17" s="86" cm="1">
        <f t="array" ref="G17">_xlfn.XLOOKUP(F17,_xlfn.ANCHORARRAY(F2),I2:I5,"")</f>
        <v>0.47826086956521741</v>
      </c>
      <c r="H17" s="73">
        <f>1+G17</f>
        <v>1.4782608695652173</v>
      </c>
      <c r="I17" s="73"/>
      <c r="J17" s="74"/>
      <c r="K17" s="72" t="str">
        <v>team 11</v>
      </c>
      <c r="L17" s="86" cm="1">
        <f t="array" ref="L17">_xlfn.XLOOKUP(K17,_xlfn.ANCHORARRAY(K2),N2:N5,"")</f>
        <v>0.4049586776859504</v>
      </c>
      <c r="M17" s="73">
        <f>1+L17</f>
        <v>1.4049586776859504</v>
      </c>
      <c r="N17" s="73"/>
      <c r="O17" s="74"/>
      <c r="P17" s="72" t="str">
        <v>team 13</v>
      </c>
      <c r="Q17" s="86" cm="1">
        <f t="array" ref="Q17">_xlfn.XLOOKUP(P17,_xlfn.ANCHORARRAY(P2),S2:S5,"")</f>
        <v>0.33333333333333331</v>
      </c>
      <c r="R17" s="73">
        <f>1+Q17</f>
        <v>1.3333333333333333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86</v>
      </c>
      <c r="D19" s="76">
        <f>IFERROR(B19/C19,"")</f>
        <v>0.70930232558139539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45</v>
      </c>
      <c r="H19" s="75">
        <f>G24+G25+G26+H24+H25+H26</f>
        <v>77</v>
      </c>
      <c r="I19" s="76">
        <f>IFERROR(G19/H19,"")</f>
        <v>0.58441558441558439</v>
      </c>
      <c r="J19" s="77">
        <f>IF(LEN(I19)=0,"",COUNTIF($J$24:$J$29,F19))</f>
        <v>2</v>
      </c>
      <c r="K19" s="65" t="str" cm="1">
        <f t="array" ref="K19:K22">Pools!$F$7:$F$10</f>
        <v>team 25</v>
      </c>
      <c r="L19" s="75">
        <f>L24+L25+L26</f>
        <v>19</v>
      </c>
      <c r="M19" s="75">
        <f>L24+L25+L26+M24+M25+M26</f>
        <v>71</v>
      </c>
      <c r="N19" s="76">
        <f>IFERROR(L19/M19,"")</f>
        <v>0.26760563380281688</v>
      </c>
      <c r="O19" s="77">
        <f>IF(LEN(N19)=0,"",COUNTIF($O$24:$O$29,K19))</f>
        <v>1</v>
      </c>
      <c r="P19" s="65" t="str" cm="1">
        <f t="array" ref="P19:P22">Pools!$H$7:$H$10</f>
        <v>team 29</v>
      </c>
      <c r="Q19" s="75">
        <f>Q24+Q25+Q26</f>
        <v>81</v>
      </c>
      <c r="R19" s="75">
        <f>Q24+Q25+Q26+R24+R25+R26</f>
        <v>133</v>
      </c>
      <c r="S19" s="76">
        <f>IFERROR(Q19/R19,"")</f>
        <v>0.60902255639097747</v>
      </c>
      <c r="T19" s="77">
        <f>IF(LEN(S19)=0,"",COUNTIF($T$24:$T$29,P19))</f>
        <v>3</v>
      </c>
    </row>
    <row r="20" spans="1:20" x14ac:dyDescent="0.25">
      <c r="A20" s="66" t="str">
        <v>team 18</v>
      </c>
      <c r="B20" s="75">
        <f>B27+B28+C24</f>
        <v>62</v>
      </c>
      <c r="C20" s="75">
        <f>B24+C24+B27+C27+B28+C28</f>
        <v>89</v>
      </c>
      <c r="D20" s="76">
        <f>IFERROR(B20/C20,"")</f>
        <v>0.6966292134831461</v>
      </c>
      <c r="E20" s="78">
        <f>IF(LEN(D20)=0,"",COUNTIF($E$24:$E$29,A20))</f>
        <v>3</v>
      </c>
      <c r="F20" s="66" t="str">
        <v>team 22</v>
      </c>
      <c r="G20" s="75">
        <f>G27+G28+H24</f>
        <v>37</v>
      </c>
      <c r="H20" s="75">
        <f>G24+H24+G27+H27+G28+H28</f>
        <v>79</v>
      </c>
      <c r="I20" s="76">
        <f>IFERROR(G20/H20,"")</f>
        <v>0.46835443037974683</v>
      </c>
      <c r="J20" s="78">
        <f>IF(LEN(I20)=0,"",COUNTIF($J$24:$J$29,F20))</f>
        <v>1</v>
      </c>
      <c r="K20" s="66" t="str">
        <v>team 26</v>
      </c>
      <c r="L20" s="75">
        <f>L27+L28+M24</f>
        <v>54</v>
      </c>
      <c r="M20" s="75">
        <f>L24+M24+L27+M27+L28+M28</f>
        <v>93</v>
      </c>
      <c r="N20" s="76">
        <f>IFERROR(L20/M20,"")</f>
        <v>0.58064516129032262</v>
      </c>
      <c r="O20" s="78">
        <f>IF(LEN(N20)=0,"",COUNTIF($O$24:$O$29,K20))</f>
        <v>2</v>
      </c>
      <c r="P20" s="66" t="str">
        <v>team 30</v>
      </c>
      <c r="Q20" s="75">
        <f>Q27+Q28+R24</f>
        <v>47</v>
      </c>
      <c r="R20" s="75">
        <f>Q24+R24+Q27+R27+Q28+R28</f>
        <v>129</v>
      </c>
      <c r="S20" s="76">
        <f>IFERROR(Q20/R20,"")</f>
        <v>0.36434108527131781</v>
      </c>
      <c r="T20" s="78">
        <f>IF(LEN(S20)=0,"",COUNTIF($T$24:$T$29,P20))</f>
        <v>0</v>
      </c>
    </row>
    <row r="21" spans="1:20" x14ac:dyDescent="0.25">
      <c r="A21" s="66" t="str">
        <v>team 19</v>
      </c>
      <c r="B21" s="75">
        <f>B29+C25+C27</f>
        <v>24</v>
      </c>
      <c r="C21" s="75">
        <f>B25+C25+B27+C27+B29+C29</f>
        <v>82</v>
      </c>
      <c r="D21" s="76">
        <f>IFERROR(B21/C21,"")</f>
        <v>0.29268292682926828</v>
      </c>
      <c r="E21" s="78">
        <f>IF(LEN(D21)=0,"",COUNTIF($E$24:$E$29,A21))</f>
        <v>1</v>
      </c>
      <c r="F21" s="66" t="str">
        <v>team 23</v>
      </c>
      <c r="G21" s="75">
        <f>G29+H25+H27</f>
        <v>52</v>
      </c>
      <c r="H21" s="75">
        <f>G25+H25+G27+H27+G29+H29</f>
        <v>125</v>
      </c>
      <c r="I21" s="76">
        <f>IFERROR(G21/H21,"")</f>
        <v>0.41599999999999998</v>
      </c>
      <c r="J21" s="78">
        <f>IF(LEN(I21)=0,"",COUNTIF($J$24:$J$29,F21))</f>
        <v>1</v>
      </c>
      <c r="K21" s="66" t="str">
        <v>team 27</v>
      </c>
      <c r="L21" s="75">
        <f>L29+M25+M27</f>
        <v>75</v>
      </c>
      <c r="M21" s="75">
        <f>L25+M25+L27+M27+L29+M29</f>
        <v>137</v>
      </c>
      <c r="N21" s="76">
        <f>IFERROR(L21/M21,"")</f>
        <v>0.54744525547445255</v>
      </c>
      <c r="O21" s="78">
        <f>IF(LEN(N21)=0,"",COUNTIF($O$24:$O$29,K21))</f>
        <v>1</v>
      </c>
      <c r="P21" s="66" t="str">
        <v>team 31</v>
      </c>
      <c r="Q21" s="75">
        <f>Q29+R25+R27</f>
        <v>38</v>
      </c>
      <c r="R21" s="75">
        <f>Q25+R25+Q27+R27+Q29+R29</f>
        <v>93</v>
      </c>
      <c r="S21" s="76">
        <f>IFERROR(Q21/R21,"")</f>
        <v>0.40860215053763443</v>
      </c>
      <c r="T21" s="78">
        <f>IF(LEN(S21)=0,"",COUNTIF($T$24:$T$29,P21))</f>
        <v>1</v>
      </c>
    </row>
    <row r="22" spans="1:20" x14ac:dyDescent="0.25">
      <c r="A22" s="67" t="str">
        <v>team 20</v>
      </c>
      <c r="B22" s="75">
        <f>C26+C28+C29</f>
        <v>41</v>
      </c>
      <c r="C22" s="75">
        <f>B26+C26+B28+C28+B29+C29</f>
        <v>119</v>
      </c>
      <c r="D22" s="76">
        <f>IFERROR(B22/C22,"")</f>
        <v>0.34453781512605042</v>
      </c>
      <c r="E22" s="79">
        <f>IF(LEN(D22)=0,"",COUNTIF($E$24:$E$29,A22))</f>
        <v>0</v>
      </c>
      <c r="F22" s="67" t="str">
        <v>team 24</v>
      </c>
      <c r="G22" s="75">
        <f>H26+H28+H29</f>
        <v>50</v>
      </c>
      <c r="H22" s="75">
        <f>G26+H26+G28+H28+G29+H29</f>
        <v>87</v>
      </c>
      <c r="I22" s="76">
        <f>IFERROR(G22/H22,"")</f>
        <v>0.57471264367816088</v>
      </c>
      <c r="J22" s="79">
        <f>IF(LEN(I22)=0,"",COUNTIF($J$24:$J$29,F22))</f>
        <v>2</v>
      </c>
      <c r="K22" s="67" t="str">
        <v>team 28</v>
      </c>
      <c r="L22" s="75">
        <f>M26+M28+M29</f>
        <v>42</v>
      </c>
      <c r="M22" s="75">
        <f>L26+M26+L28+M28+L29+M29</f>
        <v>79</v>
      </c>
      <c r="N22" s="76">
        <f>IFERROR(L22/M22,"")</f>
        <v>0.53164556962025311</v>
      </c>
      <c r="O22" s="79">
        <f>IF(LEN(N22)=0,"",COUNTIF($O$24:$O$29,K22))</f>
        <v>2</v>
      </c>
      <c r="P22" s="67" t="str">
        <v>team 32</v>
      </c>
      <c r="Q22" s="75">
        <f>R26+R28+R29</f>
        <v>62</v>
      </c>
      <c r="R22" s="75">
        <f>Q26+R26+Q28+R28+Q29+R29</f>
        <v>101</v>
      </c>
      <c r="S22" s="76">
        <f>IFERROR(Q22/R22,"")</f>
        <v>0.61386138613861385</v>
      </c>
      <c r="T22" s="79">
        <f>IF(LEN(S22)=0,"",COUNTIF($T$24:$T$29,P22))</f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2</v>
      </c>
      <c r="C24" s="84">
        <f>'Pool Scores'!N3</f>
        <v>22</v>
      </c>
      <c r="D24" t="str">
        <f>A20</f>
        <v>team 18</v>
      </c>
      <c r="E24" s="80" t="str">
        <f t="shared" ref="E24:E29" si="4">IF(OR(LEN(B24)=0,LEN(C24)=0),"",IF(B24&gt;C24,A24,D24))</f>
        <v>team 18</v>
      </c>
      <c r="F24" s="70" t="str">
        <f>F19</f>
        <v>team 21</v>
      </c>
      <c r="G24" s="75">
        <f>'Pool Scores'!M9</f>
        <v>15</v>
      </c>
      <c r="H24" s="84">
        <f>'Pool Scores'!N9</f>
        <v>6</v>
      </c>
      <c r="I24" t="str">
        <f>F20</f>
        <v>team 22</v>
      </c>
      <c r="J24" s="80" t="str">
        <f t="shared" ref="J24:J29" si="5">IF(OR(LEN(G24)=0,LEN(H24)=0),"",IF(G24&gt;H24,F24,I24))</f>
        <v>team 21</v>
      </c>
      <c r="K24" s="70" t="str">
        <f>K19</f>
        <v>team 25</v>
      </c>
      <c r="L24" s="75">
        <f>'Pool Scores'!M15</f>
        <v>9</v>
      </c>
      <c r="M24" s="84">
        <f>'Pool Scores'!N15</f>
        <v>21</v>
      </c>
      <c r="N24" t="str">
        <f>K20</f>
        <v>team 26</v>
      </c>
      <c r="O24" s="80" t="str">
        <f t="shared" ref="O24:O29" si="6">IF(OR(LEN(L24)=0,LEN(M24)=0),"",IF(L24&gt;M24,K24,N24))</f>
        <v>team 26</v>
      </c>
      <c r="P24" s="70" t="str">
        <f>P19</f>
        <v>team 29</v>
      </c>
      <c r="Q24" s="75">
        <f>'Pool Scores'!M21</f>
        <v>27</v>
      </c>
      <c r="R24" s="84">
        <f>'Pool Scores'!N21</f>
        <v>21</v>
      </c>
      <c r="S24" t="str">
        <f>P20</f>
        <v>team 30</v>
      </c>
      <c r="T24" s="80" t="str">
        <f t="shared" ref="T24:T29" si="7"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29</v>
      </c>
      <c r="C25" s="84">
        <f>'Pool Scores'!N4</f>
        <v>2</v>
      </c>
      <c r="D25" t="str">
        <f>A21</f>
        <v>team 19</v>
      </c>
      <c r="E25" s="81" t="str">
        <f t="shared" si="4"/>
        <v>team 17</v>
      </c>
      <c r="F25" s="70" t="str">
        <f>F19</f>
        <v>team 21</v>
      </c>
      <c r="G25" s="75">
        <f>'Pool Scores'!M10</f>
        <v>19</v>
      </c>
      <c r="H25" s="84">
        <f>'Pool Scores'!N10</f>
        <v>22</v>
      </c>
      <c r="I25" t="str">
        <f>F21</f>
        <v>team 23</v>
      </c>
      <c r="J25" s="81" t="str">
        <f t="shared" si="5"/>
        <v>team 23</v>
      </c>
      <c r="K25" s="70" t="str">
        <f>K19</f>
        <v>team 25</v>
      </c>
      <c r="L25" s="75">
        <f>'Pool Scores'!M16</f>
        <v>6</v>
      </c>
      <c r="M25" s="84">
        <f>'Pool Scores'!N16</f>
        <v>29</v>
      </c>
      <c r="N25" t="str">
        <f>K21</f>
        <v>team 27</v>
      </c>
      <c r="O25" s="81" t="str">
        <f t="shared" si="6"/>
        <v>team 27</v>
      </c>
      <c r="P25" s="70" t="str">
        <f>P19</f>
        <v>team 29</v>
      </c>
      <c r="Q25" s="75">
        <f>'Pool Scores'!M22</f>
        <v>30</v>
      </c>
      <c r="R25" s="84">
        <f>'Pool Scores'!N22</f>
        <v>9</v>
      </c>
      <c r="S25" t="str">
        <f>P21</f>
        <v>team 31</v>
      </c>
      <c r="T25" s="81" t="str">
        <f t="shared" si="7"/>
        <v>team 29</v>
      </c>
    </row>
    <row r="26" spans="1:20" x14ac:dyDescent="0.25">
      <c r="A26" s="70" t="str">
        <f>A19</f>
        <v>team 17</v>
      </c>
      <c r="B26" s="75">
        <f>'Pool Scores'!M5</f>
        <v>30</v>
      </c>
      <c r="C26" s="84">
        <f>'Pool Scores'!N5</f>
        <v>1</v>
      </c>
      <c r="D26" t="str">
        <f>A22</f>
        <v>team 20</v>
      </c>
      <c r="E26" s="81" t="str">
        <f t="shared" si="4"/>
        <v>team 17</v>
      </c>
      <c r="F26" s="70" t="str">
        <f>F19</f>
        <v>team 21</v>
      </c>
      <c r="G26" s="75">
        <f>'Pool Scores'!M11</f>
        <v>11</v>
      </c>
      <c r="H26" s="84">
        <f>'Pool Scores'!N11</f>
        <v>4</v>
      </c>
      <c r="I26" t="str">
        <f>F22</f>
        <v>team 24</v>
      </c>
      <c r="J26" s="81" t="str">
        <f t="shared" si="5"/>
        <v>team 21</v>
      </c>
      <c r="K26" s="70" t="str">
        <f>K19</f>
        <v>team 25</v>
      </c>
      <c r="L26" s="75">
        <f>'Pool Scores'!M17</f>
        <v>4</v>
      </c>
      <c r="M26" s="84">
        <f>'Pool Scores'!N17</f>
        <v>2</v>
      </c>
      <c r="N26" t="str">
        <f>K22</f>
        <v>team 28</v>
      </c>
      <c r="O26" s="81" t="str">
        <f t="shared" si="6"/>
        <v>team 25</v>
      </c>
      <c r="P26" s="70" t="str">
        <f>P19</f>
        <v>team 29</v>
      </c>
      <c r="Q26" s="75">
        <f>'Pool Scores'!M23</f>
        <v>24</v>
      </c>
      <c r="R26" s="84">
        <f>'Pool Scores'!N23</f>
        <v>22</v>
      </c>
      <c r="S26" t="str">
        <f>P22</f>
        <v>team 32</v>
      </c>
      <c r="T26" s="81" t="str">
        <f t="shared" si="7"/>
        <v>team 29</v>
      </c>
    </row>
    <row r="27" spans="1:20" x14ac:dyDescent="0.25">
      <c r="A27" s="70" t="str">
        <f>A20</f>
        <v>team 18</v>
      </c>
      <c r="B27" s="75">
        <f>'Pool Scores'!O4</f>
        <v>13</v>
      </c>
      <c r="C27" s="84">
        <f>'Pool Scores'!P4</f>
        <v>1</v>
      </c>
      <c r="D27" t="str">
        <f>A21</f>
        <v>team 19</v>
      </c>
      <c r="E27" s="81" t="str">
        <f t="shared" si="4"/>
        <v>team 18</v>
      </c>
      <c r="F27" s="70" t="str">
        <f>F20</f>
        <v>team 22</v>
      </c>
      <c r="G27" s="75">
        <f>'Pool Scores'!O10</f>
        <v>26</v>
      </c>
      <c r="H27" s="84">
        <f>'Pool Scores'!P10</f>
        <v>9</v>
      </c>
      <c r="I27" t="str">
        <f>F21</f>
        <v>team 23</v>
      </c>
      <c r="J27" s="81" t="str">
        <f t="shared" si="5"/>
        <v>team 22</v>
      </c>
      <c r="K27" s="70" t="str">
        <f>K20</f>
        <v>team 26</v>
      </c>
      <c r="L27" s="75">
        <f>'Pool Scores'!O16</f>
        <v>28</v>
      </c>
      <c r="M27" s="84">
        <f>'Pool Scores'!P16</f>
        <v>18</v>
      </c>
      <c r="N27" t="str">
        <f>K21</f>
        <v>team 27</v>
      </c>
      <c r="O27" s="81" t="str">
        <f t="shared" si="6"/>
        <v>team 26</v>
      </c>
      <c r="P27" s="70" t="str">
        <f>P20</f>
        <v>team 30</v>
      </c>
      <c r="Q27" s="75">
        <f>'Pool Scores'!O22</f>
        <v>15</v>
      </c>
      <c r="R27" s="84">
        <f>'Pool Scores'!P22</f>
        <v>25</v>
      </c>
      <c r="S27" t="str">
        <f>P21</f>
        <v>team 31</v>
      </c>
      <c r="T27" s="81" t="str">
        <f t="shared" si="7"/>
        <v>team 31</v>
      </c>
    </row>
    <row r="28" spans="1:20" x14ac:dyDescent="0.25">
      <c r="A28" s="70" t="str">
        <f>A20</f>
        <v>team 18</v>
      </c>
      <c r="B28" s="75">
        <f>'Pool Scores'!O5</f>
        <v>27</v>
      </c>
      <c r="C28" s="84">
        <f>'Pool Scores'!P5</f>
        <v>24</v>
      </c>
      <c r="D28" t="str">
        <f>A22</f>
        <v>team 20</v>
      </c>
      <c r="E28" s="81" t="str">
        <f t="shared" si="4"/>
        <v>team 18</v>
      </c>
      <c r="F28" s="70" t="str">
        <f>F20</f>
        <v>team 22</v>
      </c>
      <c r="G28" s="75">
        <f>'Pool Scores'!O11</f>
        <v>5</v>
      </c>
      <c r="H28" s="84">
        <f>'Pool Scores'!P11</f>
        <v>18</v>
      </c>
      <c r="I28" t="str">
        <f>F22</f>
        <v>team 24</v>
      </c>
      <c r="J28" s="81" t="str">
        <f t="shared" si="5"/>
        <v>team 24</v>
      </c>
      <c r="K28" s="70" t="str">
        <f>K20</f>
        <v>team 26</v>
      </c>
      <c r="L28" s="75">
        <f>'Pool Scores'!O17</f>
        <v>5</v>
      </c>
      <c r="M28" s="84">
        <f>'Pool Scores'!P17</f>
        <v>12</v>
      </c>
      <c r="N28" t="str">
        <f>K22</f>
        <v>team 28</v>
      </c>
      <c r="O28" s="81" t="str">
        <f t="shared" si="6"/>
        <v>team 28</v>
      </c>
      <c r="P28" s="70" t="str">
        <f>P20</f>
        <v>team 30</v>
      </c>
      <c r="Q28" s="75">
        <f>'Pool Scores'!O23</f>
        <v>11</v>
      </c>
      <c r="R28" s="84">
        <f>'Pool Scores'!P23</f>
        <v>30</v>
      </c>
      <c r="S28" t="str">
        <f>P22</f>
        <v>team 32</v>
      </c>
      <c r="T28" s="81" t="str">
        <f t="shared" si="7"/>
        <v>team 32</v>
      </c>
    </row>
    <row r="29" spans="1:20" x14ac:dyDescent="0.25">
      <c r="A29" s="70" t="str">
        <f>A21</f>
        <v>team 19</v>
      </c>
      <c r="B29" s="75">
        <f>'Pool Scores'!Q5</f>
        <v>21</v>
      </c>
      <c r="C29" s="84">
        <f>'Pool Scores'!R5</f>
        <v>16</v>
      </c>
      <c r="D29" t="str">
        <f>A22</f>
        <v>team 20</v>
      </c>
      <c r="E29" s="82" t="str">
        <f t="shared" si="4"/>
        <v>team 19</v>
      </c>
      <c r="F29" s="70" t="str">
        <f>F21</f>
        <v>team 23</v>
      </c>
      <c r="G29" s="75">
        <f>'Pool Scores'!Q11</f>
        <v>21</v>
      </c>
      <c r="H29" s="84">
        <f>'Pool Scores'!R11</f>
        <v>28</v>
      </c>
      <c r="I29" t="str">
        <f>F22</f>
        <v>team 24</v>
      </c>
      <c r="J29" s="82" t="str">
        <f t="shared" si="5"/>
        <v>team 24</v>
      </c>
      <c r="K29" s="70" t="str">
        <f>K21</f>
        <v>team 27</v>
      </c>
      <c r="L29" s="75">
        <f>'Pool Scores'!Q17</f>
        <v>28</v>
      </c>
      <c r="M29" s="84">
        <f>'Pool Scores'!R17</f>
        <v>28</v>
      </c>
      <c r="N29" t="str">
        <f>K22</f>
        <v>team 28</v>
      </c>
      <c r="O29" s="82" t="str">
        <f t="shared" si="6"/>
        <v>team 28</v>
      </c>
      <c r="P29" s="70" t="str">
        <f>P21</f>
        <v>team 31</v>
      </c>
      <c r="Q29" s="75">
        <f>'Pool Scores'!Q23</f>
        <v>4</v>
      </c>
      <c r="R29" s="84">
        <f>'Pool Scores'!R23</f>
        <v>10</v>
      </c>
      <c r="S29" t="str">
        <f>P22</f>
        <v>team 32</v>
      </c>
      <c r="T29" s="82" t="str">
        <f t="shared" si="7"/>
        <v>team 32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18</v>
      </c>
      <c r="B31" s="85" cm="1">
        <f t="array" ref="B31">_xlfn.XLOOKUP(A31,_xlfn.ANCHORARRAY(A19),D19:D22,"")</f>
        <v>0.6966292134831461</v>
      </c>
      <c r="C31">
        <f>4+B31</f>
        <v>4.6966292134831464</v>
      </c>
      <c r="E31" s="71"/>
      <c r="F31" s="70" t="str" cm="1">
        <f t="array" ref="F31:F34">_xlfn.SORTBY(F19:F22,J19:J22,-1,G19:G22,-1,I19:I22,-1)</f>
        <v>team 24</v>
      </c>
      <c r="G31" s="85" cm="1">
        <f t="array" ref="G31">_xlfn.XLOOKUP(F31,_xlfn.ANCHORARRAY(F19),I19:I22,"")</f>
        <v>0.57471264367816088</v>
      </c>
      <c r="H31">
        <f>4+G31</f>
        <v>4.5747126436781613</v>
      </c>
      <c r="J31" s="71"/>
      <c r="K31" s="70" t="str" cm="1">
        <f t="array" ref="K31:K34">_xlfn.SORTBY(K19:K22,O19:O22,-1,L19:L22,-1,N19:N22,-1)</f>
        <v>team 26</v>
      </c>
      <c r="L31" s="85" cm="1">
        <f t="array" ref="L31">_xlfn.XLOOKUP(K31,_xlfn.ANCHORARRAY(K19),N19:N22,"")</f>
        <v>0.58064516129032262</v>
      </c>
      <c r="M31">
        <f>4+L31</f>
        <v>4.580645161290323</v>
      </c>
      <c r="O31" s="71"/>
      <c r="P31" s="70" t="str" cm="1">
        <f t="array" ref="P31:P34">_xlfn.SORTBY(P19:P22,T19:T22,-1,Q19:Q22,-1,S19:S22,-1)</f>
        <v>team 29</v>
      </c>
      <c r="Q31" s="85" cm="1">
        <f t="array" ref="Q31">_xlfn.XLOOKUP(P31,_xlfn.ANCHORARRAY(P19),S19:S22,"")</f>
        <v>0.60902255639097747</v>
      </c>
      <c r="R31">
        <f>4+Q31</f>
        <v>4.6090225563909772</v>
      </c>
      <c r="T31" s="71"/>
    </row>
    <row r="32" spans="1:20" x14ac:dyDescent="0.25">
      <c r="A32" s="70" t="str">
        <v>team 17</v>
      </c>
      <c r="B32" s="85" cm="1">
        <f t="array" ref="B32">_xlfn.XLOOKUP(A32,_xlfn.ANCHORARRAY(A19),D19:D22,"")</f>
        <v>0.70930232558139539</v>
      </c>
      <c r="C32">
        <f>3+B32</f>
        <v>3.7093023255813953</v>
      </c>
      <c r="E32" s="71"/>
      <c r="F32" s="70" t="str">
        <v>team 21</v>
      </c>
      <c r="G32" s="85" cm="1">
        <f t="array" ref="G32">_xlfn.XLOOKUP(F32,_xlfn.ANCHORARRAY(F19),I19:I22,"")</f>
        <v>0.58441558441558439</v>
      </c>
      <c r="H32">
        <f>3+G32</f>
        <v>3.5844155844155843</v>
      </c>
      <c r="J32" s="71"/>
      <c r="K32" s="70" t="str">
        <v>team 28</v>
      </c>
      <c r="L32" s="85" cm="1">
        <f t="array" ref="L32">_xlfn.XLOOKUP(K32,_xlfn.ANCHORARRAY(K19),N19:N22,"")</f>
        <v>0.53164556962025311</v>
      </c>
      <c r="M32">
        <f>3+L32</f>
        <v>3.5316455696202533</v>
      </c>
      <c r="O32" s="71"/>
      <c r="P32" s="70" t="str">
        <v>team 32</v>
      </c>
      <c r="Q32" s="85" cm="1">
        <f t="array" ref="Q32">_xlfn.XLOOKUP(P32,_xlfn.ANCHORARRAY(P19),S19:S22,"")</f>
        <v>0.61386138613861385</v>
      </c>
      <c r="R32">
        <f>3+Q32</f>
        <v>3.613861386138614</v>
      </c>
      <c r="T32" s="71"/>
    </row>
    <row r="33" spans="1:20" x14ac:dyDescent="0.25">
      <c r="A33" s="70" t="str">
        <v>team 19</v>
      </c>
      <c r="B33" s="85" cm="1">
        <f t="array" ref="B33">_xlfn.XLOOKUP(A33,_xlfn.ANCHORARRAY(A19),D19:D22,"")</f>
        <v>0.29268292682926828</v>
      </c>
      <c r="C33">
        <f>2+B33</f>
        <v>2.2926829268292681</v>
      </c>
      <c r="E33" s="71"/>
      <c r="F33" s="70" t="str">
        <v>team 23</v>
      </c>
      <c r="G33" s="85" cm="1">
        <f t="array" ref="G33">_xlfn.XLOOKUP(F33,_xlfn.ANCHORARRAY(F19),I19:I22,"")</f>
        <v>0.41599999999999998</v>
      </c>
      <c r="H33">
        <f>2+G33</f>
        <v>2.4159999999999999</v>
      </c>
      <c r="J33" s="71"/>
      <c r="K33" s="70" t="str">
        <v>team 27</v>
      </c>
      <c r="L33" s="85" cm="1">
        <f t="array" ref="L33">_xlfn.XLOOKUP(K33,_xlfn.ANCHORARRAY(K19),N19:N22,"")</f>
        <v>0.54744525547445255</v>
      </c>
      <c r="M33">
        <f>2+L33</f>
        <v>2.5474452554744524</v>
      </c>
      <c r="O33" s="71"/>
      <c r="P33" s="70" t="str">
        <v>team 31</v>
      </c>
      <c r="Q33" s="85" cm="1">
        <f t="array" ref="Q33">_xlfn.XLOOKUP(P33,_xlfn.ANCHORARRAY(P19),S19:S22,"")</f>
        <v>0.40860215053763443</v>
      </c>
      <c r="R33">
        <f>2+Q33</f>
        <v>2.4086021505376345</v>
      </c>
      <c r="T33" s="71"/>
    </row>
    <row r="34" spans="1:20" ht="15.75" thickBot="1" x14ac:dyDescent="0.3">
      <c r="A34" s="72" t="str">
        <v>team 20</v>
      </c>
      <c r="B34" s="86" cm="1">
        <f t="array" ref="B34">_xlfn.XLOOKUP(A34,_xlfn.ANCHORARRAY(A19),D19:D22,"")</f>
        <v>0.34453781512605042</v>
      </c>
      <c r="C34" s="73">
        <f>1+B34</f>
        <v>1.3445378151260505</v>
      </c>
      <c r="D34" s="73"/>
      <c r="E34" s="74"/>
      <c r="F34" s="72" t="str">
        <v>team 22</v>
      </c>
      <c r="G34" s="86" cm="1">
        <f t="array" ref="G34">_xlfn.XLOOKUP(F34,_xlfn.ANCHORARRAY(F19),I19:I22,"")</f>
        <v>0.46835443037974683</v>
      </c>
      <c r="H34" s="73">
        <f>1+G34</f>
        <v>1.4683544303797469</v>
      </c>
      <c r="I34" s="73"/>
      <c r="J34" s="74"/>
      <c r="K34" s="72" t="str">
        <v>team 25</v>
      </c>
      <c r="L34" s="86" cm="1">
        <f t="array" ref="L34">_xlfn.XLOOKUP(K34,_xlfn.ANCHORARRAY(K19),N19:N22,"")</f>
        <v>0.26760563380281688</v>
      </c>
      <c r="M34" s="73">
        <f>1+L34</f>
        <v>1.267605633802817</v>
      </c>
      <c r="N34" s="73"/>
      <c r="O34" s="74"/>
      <c r="P34" s="72" t="str">
        <v>team 30</v>
      </c>
      <c r="Q34" s="86" cm="1">
        <f t="array" ref="Q34">_xlfn.XLOOKUP(P34,_xlfn.ANCHORARRAY(P19),S19:S22,"")</f>
        <v>0.36434108527131781</v>
      </c>
      <c r="R34" s="73">
        <f>1+Q34</f>
        <v>1.3643410852713178</v>
      </c>
      <c r="S34" s="73"/>
      <c r="T34" s="74"/>
    </row>
    <row r="37" spans="1:20" x14ac:dyDescent="0.25">
      <c r="A37" s="184" t="s">
        <v>104</v>
      </c>
      <c r="B37" s="185"/>
      <c r="C37" s="186"/>
      <c r="E37" s="187" t="s">
        <v>105</v>
      </c>
      <c r="F37" s="188"/>
      <c r="H37" s="189" t="s">
        <v>106</v>
      </c>
      <c r="I37" s="190"/>
      <c r="J37" s="190"/>
      <c r="K37" s="191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0.7589285714285714</v>
      </c>
      <c r="C39" s="60">
        <v>4.7589285714285712</v>
      </c>
      <c r="E39" s="60" t="str" cm="1">
        <f t="array" ref="E39:E70">_xlfn.SORTBY(A39:A70,C39:C70,-1)</f>
        <v>team 4</v>
      </c>
      <c r="F39" s="60">
        <f t="shared" ref="F39:F70" si="8">_xlfn.XLOOKUP(E39,$A$39:$A$70,$C$39:$C$70,"")</f>
        <v>4.7589285714285712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21</v>
      </c>
      <c r="J39" s="60" t="str" cm="1">
        <f t="array" aca="1" ref="J39:J54" ca="1">IFERROR(withbyes(OFFSET(_xlfn.ANCHORARRAY($E$39),'TOURNAMENT DETAILS'!B5+'TOURNAMENT DETAILS'!B6,0,'TOURNAMENT DETAILS'!B7)),"")</f>
        <v>team 31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2</v>
      </c>
      <c r="B40" s="60">
        <v>0.58823529411764708</v>
      </c>
      <c r="C40" s="60">
        <v>3.5882352941176472</v>
      </c>
      <c r="E40" s="60" t="str">
        <v>team 18</v>
      </c>
      <c r="F40" s="60">
        <f t="shared" si="8"/>
        <v>4.6966292134831464</v>
      </c>
      <c r="H40" s="60" t="str">
        <f ca="1"/>
        <v>team 18</v>
      </c>
      <c r="I40" s="60" t="str">
        <f ca="1"/>
        <v>team 9</v>
      </c>
      <c r="J40" s="60" t="str">
        <f ca="1"/>
        <v>team 19</v>
      </c>
      <c r="K40" s="60"/>
    </row>
    <row r="41" spans="1:20" x14ac:dyDescent="0.25">
      <c r="A41" s="60" t="str">
        <v>team 3</v>
      </c>
      <c r="B41" s="60">
        <v>0.41176470588235292</v>
      </c>
      <c r="C41" s="60">
        <v>2.4117647058823528</v>
      </c>
      <c r="E41" s="60" t="str">
        <v>team 15</v>
      </c>
      <c r="F41" s="60">
        <f t="shared" si="8"/>
        <v>4.6304347826086953</v>
      </c>
      <c r="H41" t="str">
        <f ca="1"/>
        <v>team 15</v>
      </c>
      <c r="I41" s="60" t="str">
        <f ca="1"/>
        <v>team 7</v>
      </c>
      <c r="J41" s="60" t="str">
        <f ca="1"/>
        <v>team 6</v>
      </c>
      <c r="K41" s="60"/>
    </row>
    <row r="42" spans="1:20" x14ac:dyDescent="0.25">
      <c r="A42" s="60" t="str">
        <v>team 1</v>
      </c>
      <c r="B42" s="60">
        <v>0.28688524590163933</v>
      </c>
      <c r="C42" s="60">
        <v>1.2868852459016393</v>
      </c>
      <c r="E42" s="60" t="str">
        <v>team 29</v>
      </c>
      <c r="F42" s="60">
        <f t="shared" si="8"/>
        <v>4.6090225563909772</v>
      </c>
      <c r="H42" s="60" t="str">
        <f ca="1"/>
        <v>team 29</v>
      </c>
      <c r="I42" s="60" t="str">
        <f ca="1"/>
        <v>team 28</v>
      </c>
      <c r="J42" s="60" t="str">
        <f ca="1"/>
        <v>team 22</v>
      </c>
      <c r="K42" s="60"/>
    </row>
    <row r="43" spans="1:20" x14ac:dyDescent="0.25">
      <c r="A43" s="60" t="str" cm="1">
        <f t="array" ref="A43:C46">IFERROR(F14:H17,"")</f>
        <v>team 8</v>
      </c>
      <c r="B43" s="60">
        <v>0.5376344086021505</v>
      </c>
      <c r="C43" s="60">
        <v>4.5376344086021501</v>
      </c>
      <c r="E43" s="60" t="str">
        <v>team 10</v>
      </c>
      <c r="F43" s="60">
        <f t="shared" si="8"/>
        <v>4.5876288659793811</v>
      </c>
      <c r="H43" s="60" t="str">
        <f ca="1"/>
        <v>team 10</v>
      </c>
      <c r="I43" s="60" t="str">
        <f ca="1"/>
        <v>team 14</v>
      </c>
      <c r="J43" s="60" t="str">
        <f ca="1"/>
        <v>team 11</v>
      </c>
      <c r="K43" s="60"/>
    </row>
    <row r="44" spans="1:20" x14ac:dyDescent="0.25">
      <c r="A44" s="60" t="str">
        <v>team 7</v>
      </c>
      <c r="B44" s="60">
        <v>0.53191489361702127</v>
      </c>
      <c r="C44" s="60">
        <v>3.5319148936170213</v>
      </c>
      <c r="E44" s="60" t="str">
        <v>team 26</v>
      </c>
      <c r="F44" s="60">
        <f t="shared" si="8"/>
        <v>4.580645161290323</v>
      </c>
      <c r="H44" s="60" t="str">
        <f ca="1"/>
        <v>team 26</v>
      </c>
      <c r="I44" s="60" t="str">
        <f ca="1"/>
        <v>team 16</v>
      </c>
      <c r="J44" s="60" t="str">
        <f ca="1"/>
        <v>team 30</v>
      </c>
      <c r="K44" s="60"/>
    </row>
    <row r="45" spans="1:20" x14ac:dyDescent="0.25">
      <c r="A45" s="60" t="str">
        <v>team 5</v>
      </c>
      <c r="B45" s="60">
        <v>0.45945945945945948</v>
      </c>
      <c r="C45" s="60">
        <v>2.4594594594594597</v>
      </c>
      <c r="E45" s="60" t="str">
        <v>team 24</v>
      </c>
      <c r="F45" s="60">
        <f t="shared" si="8"/>
        <v>4.5747126436781613</v>
      </c>
      <c r="H45" s="60" t="str">
        <f ca="1"/>
        <v>team 24</v>
      </c>
      <c r="I45" s="60" t="str">
        <f ca="1"/>
        <v>team 27</v>
      </c>
      <c r="J45" s="60" t="str">
        <f ca="1"/>
        <v>team 20</v>
      </c>
      <c r="K45" s="60"/>
    </row>
    <row r="46" spans="1:20" x14ac:dyDescent="0.25">
      <c r="A46" s="60" t="str">
        <v>team 6</v>
      </c>
      <c r="B46" s="60">
        <v>0.47826086956521741</v>
      </c>
      <c r="C46" s="60">
        <v>1.4782608695652173</v>
      </c>
      <c r="E46" s="60" t="str">
        <v>team 8</v>
      </c>
      <c r="F46" s="60">
        <f t="shared" si="8"/>
        <v>4.5376344086021501</v>
      </c>
      <c r="H46" s="60" t="str">
        <f ca="1"/>
        <v>team 8</v>
      </c>
      <c r="I46" s="60" t="str">
        <f ca="1"/>
        <v>team 12</v>
      </c>
      <c r="J46" s="60" t="str">
        <f ca="1"/>
        <v>team 13</v>
      </c>
      <c r="K46" s="60"/>
    </row>
    <row r="47" spans="1:20" x14ac:dyDescent="0.25">
      <c r="A47" s="60" t="str" cm="1">
        <f t="array" ref="A47:C50">IFERROR(K14:M17,"")</f>
        <v>team 10</v>
      </c>
      <c r="B47" s="60">
        <v>0.58762886597938147</v>
      </c>
      <c r="C47" s="60">
        <v>4.5876288659793811</v>
      </c>
      <c r="E47" s="60" t="str">
        <v>team 17</v>
      </c>
      <c r="F47" s="60">
        <f t="shared" si="8"/>
        <v>3.7093023255813953</v>
      </c>
      <c r="H47" s="60" t="str">
        <f ca="1"/>
        <v>team 17</v>
      </c>
      <c r="I47" s="60" t="str">
        <f ca="1"/>
        <v>team 5</v>
      </c>
      <c r="J47" s="60" t="str">
        <f ca="1"/>
        <v>team 1</v>
      </c>
      <c r="K47" s="60"/>
    </row>
    <row r="48" spans="1:20" x14ac:dyDescent="0.25">
      <c r="A48" s="60" t="str">
        <v>team 9</v>
      </c>
      <c r="B48" s="60">
        <v>0.54455445544554459</v>
      </c>
      <c r="C48" s="60">
        <v>3.5445544554455446</v>
      </c>
      <c r="E48" s="60" t="str">
        <v>team 32</v>
      </c>
      <c r="F48" s="60">
        <f t="shared" si="8"/>
        <v>3.613861386138614</v>
      </c>
      <c r="H48" s="60" t="str">
        <f ca="1"/>
        <v>team 32</v>
      </c>
      <c r="I48" s="60" t="str">
        <f ca="1"/>
        <v>team 23</v>
      </c>
      <c r="J48" s="60" t="str">
        <f ca="1"/>
        <v>team 25</v>
      </c>
      <c r="K48" s="60"/>
    </row>
    <row r="49" spans="1:11" x14ac:dyDescent="0.25">
      <c r="A49" s="60" t="str">
        <v>team 12</v>
      </c>
      <c r="B49" s="60">
        <v>0.48598130841121495</v>
      </c>
      <c r="C49" s="60">
        <v>2.485981308411215</v>
      </c>
      <c r="E49" s="60" t="str">
        <v>team 2</v>
      </c>
      <c r="F49" s="60">
        <f t="shared" si="8"/>
        <v>3.5882352941176472</v>
      </c>
      <c r="H49" s="60" t="str">
        <f ca="1"/>
        <v>team 2</v>
      </c>
      <c r="I49" s="60" t="str">
        <f ca="1"/>
        <v>team 3</v>
      </c>
      <c r="J49" s="60" t="str">
        <f ca="1"/>
        <v>bye</v>
      </c>
      <c r="K49" s="60"/>
    </row>
    <row r="50" spans="1:11" x14ac:dyDescent="0.25">
      <c r="A50" s="60" t="str">
        <v>team 11</v>
      </c>
      <c r="B50" s="60">
        <v>0.4049586776859504</v>
      </c>
      <c r="C50" s="60">
        <v>1.4049586776859504</v>
      </c>
      <c r="E50" s="60" t="str">
        <v>team 21</v>
      </c>
      <c r="F50" s="60">
        <f t="shared" si="8"/>
        <v>3.5844155844155843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15</v>
      </c>
      <c r="B51" s="60">
        <v>0.63043478260869568</v>
      </c>
      <c r="C51" s="60">
        <v>4.6304347826086953</v>
      </c>
      <c r="E51" s="60" t="str">
        <v>team 9</v>
      </c>
      <c r="F51" s="60">
        <f t="shared" si="8"/>
        <v>3.5445544554455446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14</v>
      </c>
      <c r="B52" s="60">
        <v>0.51327433628318586</v>
      </c>
      <c r="C52" s="60">
        <v>3.5132743362831858</v>
      </c>
      <c r="E52" s="60" t="str">
        <v>team 7</v>
      </c>
      <c r="F52" s="60">
        <f t="shared" si="8"/>
        <v>3.5319148936170213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0.550561797752809</v>
      </c>
      <c r="C53" s="60">
        <v>2.5505617977528088</v>
      </c>
      <c r="E53" s="60" t="str">
        <v>team 28</v>
      </c>
      <c r="F53" s="60">
        <f t="shared" si="8"/>
        <v>3.5316455696202533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13</v>
      </c>
      <c r="B54" s="60">
        <v>0.33333333333333331</v>
      </c>
      <c r="C54" s="60">
        <v>1.3333333333333333</v>
      </c>
      <c r="E54" s="60" t="str">
        <v>team 14</v>
      </c>
      <c r="F54" s="60">
        <f t="shared" si="8"/>
        <v>3.5132743362831858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18</v>
      </c>
      <c r="B55" s="60">
        <v>0.6966292134831461</v>
      </c>
      <c r="C55" s="60">
        <v>4.6966292134831464</v>
      </c>
      <c r="E55" s="60" t="str">
        <v>team 16</v>
      </c>
      <c r="F55" s="60">
        <f t="shared" si="8"/>
        <v>2.5505617977528088</v>
      </c>
    </row>
    <row r="56" spans="1:11" x14ac:dyDescent="0.25">
      <c r="A56" s="60" t="str">
        <v>team 17</v>
      </c>
      <c r="B56" s="60">
        <v>0.70930232558139539</v>
      </c>
      <c r="C56" s="60">
        <v>3.7093023255813953</v>
      </c>
      <c r="E56" s="60" t="str">
        <v>team 27</v>
      </c>
      <c r="F56" s="60">
        <f t="shared" si="8"/>
        <v>2.5474452554744524</v>
      </c>
    </row>
    <row r="57" spans="1:11" x14ac:dyDescent="0.25">
      <c r="A57" s="60" t="str">
        <v>team 19</v>
      </c>
      <c r="B57" s="60">
        <v>0.29268292682926828</v>
      </c>
      <c r="C57" s="60">
        <v>2.2926829268292681</v>
      </c>
      <c r="E57" s="60" t="str">
        <v>team 12</v>
      </c>
      <c r="F57" s="60">
        <f t="shared" si="8"/>
        <v>2.485981308411215</v>
      </c>
    </row>
    <row r="58" spans="1:11" x14ac:dyDescent="0.25">
      <c r="A58" s="60" t="str">
        <v>team 20</v>
      </c>
      <c r="B58" s="60">
        <v>0.34453781512605042</v>
      </c>
      <c r="C58" s="60">
        <v>1.3445378151260505</v>
      </c>
      <c r="E58" s="60" t="str">
        <v>team 5</v>
      </c>
      <c r="F58" s="60">
        <f t="shared" si="8"/>
        <v>2.4594594594594597</v>
      </c>
    </row>
    <row r="59" spans="1:11" x14ac:dyDescent="0.25">
      <c r="A59" s="60" t="str" cm="1">
        <f t="array" ref="A59:C62">IFERROR(F31:H34,"")</f>
        <v>team 24</v>
      </c>
      <c r="B59" s="60">
        <v>0.57471264367816088</v>
      </c>
      <c r="C59" s="60">
        <v>4.5747126436781613</v>
      </c>
      <c r="E59" s="60" t="str">
        <v>team 23</v>
      </c>
      <c r="F59" s="60">
        <f t="shared" si="8"/>
        <v>2.4159999999999999</v>
      </c>
    </row>
    <row r="60" spans="1:11" x14ac:dyDescent="0.25">
      <c r="A60" s="60" t="str">
        <v>team 21</v>
      </c>
      <c r="B60" s="60">
        <v>0.58441558441558439</v>
      </c>
      <c r="C60" s="60">
        <v>3.5844155844155843</v>
      </c>
      <c r="E60" s="60" t="str">
        <v>team 3</v>
      </c>
      <c r="F60" s="60">
        <f t="shared" si="8"/>
        <v>2.4117647058823528</v>
      </c>
    </row>
    <row r="61" spans="1:11" x14ac:dyDescent="0.25">
      <c r="A61" s="60" t="str">
        <v>team 23</v>
      </c>
      <c r="B61" s="60">
        <v>0.41599999999999998</v>
      </c>
      <c r="C61" s="60">
        <v>2.4159999999999999</v>
      </c>
      <c r="E61" s="60" t="str">
        <v>team 31</v>
      </c>
      <c r="F61" s="60">
        <f t="shared" si="8"/>
        <v>2.4086021505376345</v>
      </c>
    </row>
    <row r="62" spans="1:11" x14ac:dyDescent="0.25">
      <c r="A62" s="60" t="str">
        <v>team 22</v>
      </c>
      <c r="B62" s="60">
        <v>0.46835443037974683</v>
      </c>
      <c r="C62" s="60">
        <v>1.4683544303797469</v>
      </c>
      <c r="E62" s="60" t="str">
        <v>team 19</v>
      </c>
      <c r="F62" s="60">
        <f t="shared" si="8"/>
        <v>2.2926829268292681</v>
      </c>
    </row>
    <row r="63" spans="1:11" x14ac:dyDescent="0.25">
      <c r="A63" s="60" t="str" cm="1">
        <f t="array" ref="A63:C66">IFERROR(K31:M34,"")</f>
        <v>team 26</v>
      </c>
      <c r="B63" s="60">
        <v>0.58064516129032262</v>
      </c>
      <c r="C63" s="60">
        <v>4.580645161290323</v>
      </c>
      <c r="E63" s="60" t="str">
        <v>team 6</v>
      </c>
      <c r="F63" s="60">
        <f t="shared" si="8"/>
        <v>1.4782608695652173</v>
      </c>
    </row>
    <row r="64" spans="1:11" x14ac:dyDescent="0.25">
      <c r="A64" s="60" t="str">
        <v>team 28</v>
      </c>
      <c r="B64" s="60">
        <v>0.53164556962025311</v>
      </c>
      <c r="C64" s="60">
        <v>3.5316455696202533</v>
      </c>
      <c r="E64" s="60" t="str">
        <v>team 22</v>
      </c>
      <c r="F64" s="60">
        <f t="shared" si="8"/>
        <v>1.4683544303797469</v>
      </c>
    </row>
    <row r="65" spans="1:6" x14ac:dyDescent="0.25">
      <c r="A65" s="60" t="str">
        <v>team 27</v>
      </c>
      <c r="B65" s="60">
        <v>0.54744525547445255</v>
      </c>
      <c r="C65" s="60">
        <v>2.5474452554744524</v>
      </c>
      <c r="E65" s="60" t="str">
        <v>team 11</v>
      </c>
      <c r="F65" s="60">
        <f t="shared" si="8"/>
        <v>1.4049586776859504</v>
      </c>
    </row>
    <row r="66" spans="1:6" x14ac:dyDescent="0.25">
      <c r="A66" s="60" t="str">
        <v>team 25</v>
      </c>
      <c r="B66" s="60">
        <v>0.26760563380281688</v>
      </c>
      <c r="C66" s="60">
        <v>1.267605633802817</v>
      </c>
      <c r="E66" s="60" t="str">
        <v>team 30</v>
      </c>
      <c r="F66" s="60">
        <f t="shared" si="8"/>
        <v>1.3643410852713178</v>
      </c>
    </row>
    <row r="67" spans="1:6" x14ac:dyDescent="0.25">
      <c r="A67" s="60" t="str" cm="1">
        <f t="array" ref="A67:C70">IFERROR(P31:R34,"")</f>
        <v>team 29</v>
      </c>
      <c r="B67" s="60">
        <v>0.60902255639097747</v>
      </c>
      <c r="C67" s="60">
        <v>4.6090225563909772</v>
      </c>
      <c r="E67" s="60" t="str">
        <v>team 20</v>
      </c>
      <c r="F67" s="60">
        <f t="shared" si="8"/>
        <v>1.3445378151260505</v>
      </c>
    </row>
    <row r="68" spans="1:6" x14ac:dyDescent="0.25">
      <c r="A68" s="60" t="str">
        <v>team 32</v>
      </c>
      <c r="B68" s="60">
        <v>0.61386138613861385</v>
      </c>
      <c r="C68" s="60">
        <v>3.613861386138614</v>
      </c>
      <c r="E68" s="60" t="str">
        <v>team 13</v>
      </c>
      <c r="F68" s="60">
        <f t="shared" si="8"/>
        <v>1.3333333333333333</v>
      </c>
    </row>
    <row r="69" spans="1:6" x14ac:dyDescent="0.25">
      <c r="A69" s="60" t="str">
        <v>team 31</v>
      </c>
      <c r="B69" s="60">
        <v>0.40860215053763443</v>
      </c>
      <c r="C69" s="60">
        <v>2.4086021505376345</v>
      </c>
      <c r="E69" s="60" t="str">
        <v>team 1</v>
      </c>
      <c r="F69" s="60">
        <f t="shared" si="8"/>
        <v>1.2868852459016393</v>
      </c>
    </row>
    <row r="70" spans="1:6" x14ac:dyDescent="0.25">
      <c r="A70" s="61" t="str">
        <v>team 30</v>
      </c>
      <c r="B70" s="61">
        <v>0.36434108527131781</v>
      </c>
      <c r="C70" s="61">
        <v>1.3643410852713178</v>
      </c>
      <c r="E70" s="61" t="str">
        <v>team 25</v>
      </c>
      <c r="F70" s="61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92" t="s">
        <v>7</v>
      </c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22"/>
    </row>
    <row r="2" spans="1:17" ht="15.75" x14ac:dyDescent="0.25">
      <c r="A2" s="9"/>
      <c r="B2" s="182" t="s">
        <v>8</v>
      </c>
      <c r="C2" s="182"/>
      <c r="D2" s="10"/>
      <c r="E2" s="182" t="s">
        <v>4</v>
      </c>
      <c r="F2" s="182"/>
      <c r="G2" s="10"/>
      <c r="H2" s="182" t="s">
        <v>5</v>
      </c>
      <c r="I2" s="182"/>
      <c r="J2" s="182"/>
      <c r="K2" s="10"/>
      <c r="L2" s="182" t="s">
        <v>1</v>
      </c>
      <c r="M2" s="182"/>
      <c r="N2" s="10"/>
      <c r="O2" s="182" t="s">
        <v>0</v>
      </c>
      <c r="P2" s="182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80" t="s">
        <v>6</v>
      </c>
      <c r="P16" s="181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83" t="s">
        <v>7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22"/>
    </row>
    <row r="2" spans="1:23" ht="15.75" x14ac:dyDescent="0.25">
      <c r="A2" s="9"/>
      <c r="B2" s="182" t="s">
        <v>8</v>
      </c>
      <c r="C2" s="182"/>
      <c r="D2" s="10"/>
      <c r="E2" s="182" t="s">
        <v>4</v>
      </c>
      <c r="F2" s="182"/>
      <c r="G2" s="10"/>
      <c r="H2" s="182" t="s">
        <v>3</v>
      </c>
      <c r="I2" s="182"/>
      <c r="J2" s="10"/>
      <c r="K2" s="182" t="s">
        <v>5</v>
      </c>
      <c r="L2" s="182"/>
      <c r="M2" s="182"/>
      <c r="N2" s="10"/>
      <c r="O2" s="182" t="s">
        <v>2</v>
      </c>
      <c r="P2" s="182"/>
      <c r="Q2" s="10"/>
      <c r="R2" s="182" t="s">
        <v>1</v>
      </c>
      <c r="S2" s="182"/>
      <c r="T2" s="10"/>
      <c r="U2" s="182" t="s">
        <v>0</v>
      </c>
      <c r="V2" s="182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80" t="s">
        <v>6</v>
      </c>
      <c r="V29" s="181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2024-01-29T06:49:38Z</dcterms:modified>
</cp:coreProperties>
</file>