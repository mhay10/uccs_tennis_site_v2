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Arch\home\maxh\uccs_tennis_site_v2\excel_sheet\"/>
    </mc:Choice>
  </mc:AlternateContent>
  <xr:revisionPtr revIDLastSave="0" documentId="13_ncr:1_{479D3CE5-722F-43EA-9915-B26473375C5B}" xr6:coauthVersionLast="47" xr6:coauthVersionMax="47" xr10:uidLastSave="{00000000-0000-0000-0000-000000000000}"/>
  <bookViews>
    <workbookView minimized="1" xWindow="37380" yWindow="690" windowWidth="20910" windowHeight="11595" tabRatio="725" firstSheet="5" activeTab="13" xr2:uid="{D05C08A3-E984-44FE-BC9D-D4CF72F814FD}"/>
  </bookViews>
  <sheets>
    <sheet name="SCHEDULE" sheetId="14" r:id="rId1"/>
    <sheet name="TOURNAMENT DETAILS" sheetId="9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Charts" sheetId="16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3" l="1"/>
  <c r="F15" i="13"/>
  <c r="L14" i="13"/>
  <c r="O11" i="13" s="1"/>
  <c r="F14" i="13"/>
  <c r="C11" i="13" s="1"/>
  <c r="L7" i="13"/>
  <c r="F7" i="13"/>
  <c r="L6" i="13"/>
  <c r="F6" i="13"/>
  <c r="L15" i="12"/>
  <c r="F15" i="12"/>
  <c r="L14" i="12"/>
  <c r="F14" i="12"/>
  <c r="L7" i="12"/>
  <c r="F7" i="12"/>
  <c r="L6" i="12"/>
  <c r="F6" i="12"/>
  <c r="L15" i="11"/>
  <c r="F15" i="11"/>
  <c r="L14" i="11"/>
  <c r="F14" i="11"/>
  <c r="C11" i="11" s="1"/>
  <c r="L7" i="11"/>
  <c r="F7" i="11"/>
  <c r="L6" i="11"/>
  <c r="F6" i="11"/>
  <c r="L15" i="10"/>
  <c r="F15" i="10"/>
  <c r="L14" i="10"/>
  <c r="F14" i="10"/>
  <c r="L7" i="10"/>
  <c r="F7" i="10"/>
  <c r="L6" i="10"/>
  <c r="F6" i="10"/>
  <c r="D5" i="14"/>
  <c r="I2" i="14"/>
  <c r="D23" i="14"/>
  <c r="D20" i="14"/>
  <c r="D17" i="14"/>
  <c r="D14" i="14"/>
  <c r="D11" i="14"/>
  <c r="D8" i="14"/>
  <c r="O10" i="13" l="1"/>
  <c r="C10" i="13"/>
  <c r="O18" i="13"/>
  <c r="O17" i="13"/>
  <c r="C11" i="12"/>
  <c r="O11" i="12"/>
  <c r="C10" i="12"/>
  <c r="O17" i="12"/>
  <c r="O18" i="12"/>
  <c r="O10" i="12"/>
  <c r="O11" i="11"/>
  <c r="O10" i="11"/>
  <c r="C10" i="11"/>
  <c r="O18" i="11"/>
  <c r="O17" i="11"/>
  <c r="C11" i="10"/>
  <c r="O11" i="10"/>
  <c r="C10" i="10"/>
  <c r="O17" i="10"/>
  <c r="O18" i="10"/>
  <c r="O10" i="10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G19" i="7" s="1"/>
  <c r="K19" i="7" a="1"/>
  <c r="K19" i="7" s="1"/>
  <c r="F19" i="7" a="1"/>
  <c r="F19" i="7" s="1"/>
  <c r="A19" i="7" a="1"/>
  <c r="A19" i="7" s="1"/>
  <c r="C29" i="7"/>
  <c r="B29" i="7"/>
  <c r="B28" i="7"/>
  <c r="C28" i="7"/>
  <c r="C27" i="7"/>
  <c r="B27" i="7"/>
  <c r="B25" i="7"/>
  <c r="C25" i="7"/>
  <c r="B21" i="7" s="1"/>
  <c r="B26" i="7"/>
  <c r="C26" i="7"/>
  <c r="C24" i="7"/>
  <c r="B24" i="7"/>
  <c r="P2" i="7" a="1"/>
  <c r="P2" i="7" s="1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L5" i="7" s="1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L19" i="7" l="1"/>
  <c r="M22" i="7"/>
  <c r="Q21" i="7"/>
  <c r="Q20" i="7"/>
  <c r="M19" i="7"/>
  <c r="N19" i="7" s="1"/>
  <c r="H22" i="7"/>
  <c r="C22" i="7"/>
  <c r="B20" i="7"/>
  <c r="C20" i="7"/>
  <c r="Q3" i="7"/>
  <c r="Q4" i="7"/>
  <c r="L2" i="7"/>
  <c r="L4" i="7"/>
  <c r="G3" i="7"/>
  <c r="G22" i="7"/>
  <c r="R4" i="7"/>
  <c r="R20" i="7"/>
  <c r="D27" i="7"/>
  <c r="I25" i="7"/>
  <c r="M2" i="7"/>
  <c r="R3" i="7"/>
  <c r="F28" i="7"/>
  <c r="K29" i="7"/>
  <c r="C19" i="7"/>
  <c r="P10" i="7"/>
  <c r="T10" i="7" s="1"/>
  <c r="B22" i="7"/>
  <c r="H20" i="7"/>
  <c r="I28" i="7"/>
  <c r="A29" i="7"/>
  <c r="Q22" i="7"/>
  <c r="L22" i="7"/>
  <c r="N22" i="7" s="1"/>
  <c r="L21" i="7"/>
  <c r="M21" i="7"/>
  <c r="H21" i="7"/>
  <c r="G20" i="7"/>
  <c r="J28" i="7"/>
  <c r="G21" i="7"/>
  <c r="K28" i="7"/>
  <c r="D26" i="7"/>
  <c r="E26" i="7" s="1"/>
  <c r="D29" i="7"/>
  <c r="E29" i="7" s="1"/>
  <c r="C21" i="7"/>
  <c r="D21" i="7" s="1"/>
  <c r="R21" i="7"/>
  <c r="S21" i="7" s="1"/>
  <c r="Q19" i="7"/>
  <c r="L20" i="7"/>
  <c r="I24" i="7"/>
  <c r="J24" i="7" s="1"/>
  <c r="I27" i="7"/>
  <c r="J27" i="7" s="1"/>
  <c r="A28" i="7"/>
  <c r="E28" i="7" s="1"/>
  <c r="H19" i="7"/>
  <c r="I19" i="7" s="1"/>
  <c r="R19" i="7"/>
  <c r="M20" i="7"/>
  <c r="R22" i="7"/>
  <c r="N25" i="7"/>
  <c r="O25" i="7" s="1"/>
  <c r="N28" i="7"/>
  <c r="O28" i="7" s="1"/>
  <c r="F29" i="7"/>
  <c r="K27" i="7"/>
  <c r="N26" i="7"/>
  <c r="F27" i="7"/>
  <c r="N29" i="7"/>
  <c r="O29" i="7" s="1"/>
  <c r="D25" i="7"/>
  <c r="E25" i="7" s="1"/>
  <c r="D28" i="7"/>
  <c r="I26" i="7"/>
  <c r="J26" i="7" s="1"/>
  <c r="A27" i="7"/>
  <c r="E27" i="7" s="1"/>
  <c r="I29" i="7"/>
  <c r="J29" i="7" s="1"/>
  <c r="N24" i="7"/>
  <c r="N27" i="7"/>
  <c r="O27" i="7" s="1"/>
  <c r="B19" i="7"/>
  <c r="D24" i="7"/>
  <c r="Q5" i="7"/>
  <c r="S12" i="7"/>
  <c r="S10" i="7"/>
  <c r="S8" i="7"/>
  <c r="T8" i="7" s="1"/>
  <c r="P11" i="7"/>
  <c r="T11" i="7" s="1"/>
  <c r="Q2" i="7"/>
  <c r="R2" i="7"/>
  <c r="R5" i="7"/>
  <c r="S11" i="7"/>
  <c r="S9" i="7"/>
  <c r="P12" i="7"/>
  <c r="S7" i="7"/>
  <c r="T7" i="7" s="1"/>
  <c r="M5" i="7"/>
  <c r="N5" i="7" s="1"/>
  <c r="M3" i="7"/>
  <c r="M4" i="7"/>
  <c r="L3" i="7"/>
  <c r="H5" i="7"/>
  <c r="G4" i="7"/>
  <c r="G5" i="7"/>
  <c r="H2" i="7"/>
  <c r="H3" i="7"/>
  <c r="H4" i="7"/>
  <c r="G2" i="7"/>
  <c r="S20" i="7" l="1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J25" i="7"/>
  <c r="J22" i="7" s="1"/>
  <c r="S22" i="7"/>
  <c r="I2" i="7"/>
  <c r="N3" i="7"/>
  <c r="I4" i="7"/>
  <c r="O24" i="7"/>
  <c r="T12" i="7"/>
  <c r="F25" i="7"/>
  <c r="F26" i="7"/>
  <c r="F24" i="7"/>
  <c r="A26" i="7"/>
  <c r="A24" i="7"/>
  <c r="E24" i="7" s="1"/>
  <c r="A25" i="7"/>
  <c r="K26" i="7"/>
  <c r="O26" i="7" s="1"/>
  <c r="K24" i="7"/>
  <c r="K25" i="7"/>
  <c r="P7" i="7"/>
  <c r="P8" i="7"/>
  <c r="P9" i="7"/>
  <c r="T9" i="7" s="1"/>
  <c r="T5" i="7" s="1"/>
  <c r="S2" i="7"/>
  <c r="E19" i="7" l="1"/>
  <c r="T3" i="7"/>
  <c r="O21" i="7"/>
  <c r="E21" i="7"/>
  <c r="O22" i="7"/>
  <c r="J20" i="7"/>
  <c r="T4" i="7"/>
  <c r="E20" i="7"/>
  <c r="J19" i="7"/>
  <c r="E22" i="7"/>
  <c r="O20" i="7"/>
  <c r="O19" i="7"/>
  <c r="J21" i="7"/>
  <c r="T2" i="7"/>
  <c r="K31" i="7" l="1" a="1"/>
  <c r="L34" i="7" s="1" a="1"/>
  <c r="L34" i="7" s="1"/>
  <c r="M34" i="7" s="1"/>
  <c r="F31" i="7" a="1"/>
  <c r="F31" i="7" s="1"/>
  <c r="A31" i="7" a="1"/>
  <c r="B32" i="7" s="1" a="1"/>
  <c r="B32" i="7" s="1"/>
  <c r="C32" i="7" s="1"/>
  <c r="P14" i="7" a="1"/>
  <c r="Q15" i="7" s="1" a="1"/>
  <c r="Q15" i="7" s="1"/>
  <c r="R15" i="7" s="1"/>
  <c r="G31" i="7" l="1" a="1"/>
  <c r="G31" i="7" s="1"/>
  <c r="H31" i="7" s="1"/>
  <c r="L33" i="7" a="1"/>
  <c r="L33" i="7" s="1"/>
  <c r="M33" i="7" s="1"/>
  <c r="K31" i="7"/>
  <c r="L32" i="7" a="1"/>
  <c r="L32" i="7" s="1"/>
  <c r="M32" i="7" s="1"/>
  <c r="G34" i="7" a="1"/>
  <c r="G34" i="7" s="1"/>
  <c r="H34" i="7" s="1"/>
  <c r="G33" i="7" a="1"/>
  <c r="G33" i="7" s="1"/>
  <c r="H33" i="7" s="1"/>
  <c r="G32" i="7" a="1"/>
  <c r="G32" i="7" s="1"/>
  <c r="H32" i="7" s="1"/>
  <c r="B34" i="7" a="1"/>
  <c r="B34" i="7" s="1"/>
  <c r="C34" i="7" s="1"/>
  <c r="A31" i="7"/>
  <c r="B33" i="7" a="1"/>
  <c r="B33" i="7" s="1"/>
  <c r="C33" i="7" s="1"/>
  <c r="P14" i="7"/>
  <c r="Q17" i="7" a="1"/>
  <c r="Q17" i="7" s="1"/>
  <c r="R17" i="7" s="1"/>
  <c r="Q16" i="7" a="1"/>
  <c r="Q16" i="7" s="1"/>
  <c r="R16" i="7" s="1"/>
  <c r="C12" i="7"/>
  <c r="B12" i="7"/>
  <c r="B11" i="7"/>
  <c r="C11" i="7"/>
  <c r="C10" i="7"/>
  <c r="B10" i="7"/>
  <c r="C8" i="7"/>
  <c r="C9" i="7"/>
  <c r="C7" i="7"/>
  <c r="B8" i="7"/>
  <c r="B9" i="7"/>
  <c r="B7" i="7"/>
  <c r="A59" i="7" l="1" a="1"/>
  <c r="A59" i="7" s="1"/>
  <c r="B31" i="7" a="1"/>
  <c r="B31" i="7" s="1"/>
  <c r="C31" i="7" s="1"/>
  <c r="L31" i="7" a="1"/>
  <c r="L31" i="7" s="1"/>
  <c r="M31" i="7" s="1"/>
  <c r="Q14" i="7" a="1"/>
  <c r="Q14" i="7" s="1"/>
  <c r="R14" i="7" s="1"/>
  <c r="B2" i="7"/>
  <c r="B4" i="7"/>
  <c r="C5" i="7"/>
  <c r="C4" i="7"/>
  <c r="B5" i="7"/>
  <c r="C2" i="7"/>
  <c r="C3" i="7"/>
  <c r="B3" i="7"/>
  <c r="B3" i="4"/>
  <c r="A63" i="7" l="1" a="1"/>
  <c r="A63" i="7" s="1"/>
  <c r="A55" i="7" a="1"/>
  <c r="A55" i="7" s="1"/>
  <c r="A51" i="7" a="1"/>
  <c r="A51" i="7" s="1"/>
  <c r="D5" i="7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P19" i="7" s="1" a="1"/>
  <c r="F7" i="4"/>
  <c r="D7" i="4"/>
  <c r="B7" i="4"/>
  <c r="H5" i="4"/>
  <c r="F5" i="4"/>
  <c r="K2" i="7" s="1" a="1"/>
  <c r="D5" i="4"/>
  <c r="B5" i="4"/>
  <c r="A2" i="7" s="1" a="1"/>
  <c r="H4" i="4"/>
  <c r="F4" i="4"/>
  <c r="D4" i="4"/>
  <c r="B4" i="4"/>
  <c r="H3" i="4"/>
  <c r="F3" i="4"/>
  <c r="D3" i="4"/>
  <c r="H2" i="4"/>
  <c r="F2" i="4"/>
  <c r="D2" i="4"/>
  <c r="F2" i="7" s="1" a="1"/>
  <c r="B2" i="4"/>
  <c r="R10" i="1" l="1"/>
  <c r="U18" i="1" s="1"/>
  <c r="I6" i="1"/>
  <c r="F10" i="1" s="1"/>
  <c r="C18" i="1" s="1"/>
  <c r="C10" i="2"/>
  <c r="C11" i="2"/>
  <c r="O11" i="2"/>
  <c r="O17" i="2"/>
  <c r="O10" i="2"/>
  <c r="O18" i="2"/>
  <c r="P19" i="7"/>
  <c r="S25" i="7"/>
  <c r="T25" i="7" s="1"/>
  <c r="S28" i="7"/>
  <c r="T28" i="7" s="1"/>
  <c r="S27" i="7"/>
  <c r="S26" i="7"/>
  <c r="S29" i="7"/>
  <c r="T29" i="7" s="1"/>
  <c r="S24" i="7"/>
  <c r="P27" i="7"/>
  <c r="P28" i="7"/>
  <c r="P29" i="7"/>
  <c r="F2" i="7"/>
  <c r="I10" i="7"/>
  <c r="J10" i="7" s="1"/>
  <c r="I9" i="7"/>
  <c r="I8" i="7"/>
  <c r="J8" i="7" s="1"/>
  <c r="F12" i="7"/>
  <c r="I12" i="7"/>
  <c r="J12" i="7" s="1"/>
  <c r="I7" i="7"/>
  <c r="F11" i="7"/>
  <c r="I11" i="7"/>
  <c r="J11" i="7" s="1"/>
  <c r="F10" i="7"/>
  <c r="K2" i="7"/>
  <c r="N9" i="7"/>
  <c r="K12" i="7"/>
  <c r="N7" i="7"/>
  <c r="K11" i="7"/>
  <c r="N11" i="7"/>
  <c r="O11" i="7" s="1"/>
  <c r="K10" i="7"/>
  <c r="N8" i="7"/>
  <c r="N12" i="7"/>
  <c r="O12" i="7" s="1"/>
  <c r="N10" i="7"/>
  <c r="O10" i="7" s="1"/>
  <c r="A2" i="7"/>
  <c r="D11" i="7"/>
  <c r="E11" i="7" s="1"/>
  <c r="D12" i="7"/>
  <c r="D10" i="7"/>
  <c r="A11" i="7"/>
  <c r="A12" i="7"/>
  <c r="E12" i="7" s="1"/>
  <c r="D8" i="7"/>
  <c r="E8" i="7" s="1"/>
  <c r="A10" i="7"/>
  <c r="E10" i="7" s="1"/>
  <c r="D7" i="7"/>
  <c r="E7" i="7" s="1"/>
  <c r="D9" i="7"/>
  <c r="U30" i="1" l="1"/>
  <c r="T27" i="7"/>
  <c r="P24" i="7"/>
  <c r="T24" i="7" s="1"/>
  <c r="P25" i="7"/>
  <c r="P26" i="7"/>
  <c r="T26" i="7" s="1"/>
  <c r="T19" i="7" s="1"/>
  <c r="F7" i="7"/>
  <c r="J7" i="7" s="1"/>
  <c r="F9" i="7"/>
  <c r="J9" i="7" s="1"/>
  <c r="F8" i="7"/>
  <c r="J2" i="7"/>
  <c r="K7" i="7"/>
  <c r="O7" i="7" s="1"/>
  <c r="K9" i="7"/>
  <c r="O9" i="7" s="1"/>
  <c r="K8" i="7"/>
  <c r="O8" i="7" s="1"/>
  <c r="O2" i="7"/>
  <c r="A9" i="7"/>
  <c r="E9" i="7" s="1"/>
  <c r="E3" i="7" s="1"/>
  <c r="A7" i="7"/>
  <c r="A8" i="7"/>
  <c r="T20" i="7" l="1"/>
  <c r="T21" i="7"/>
  <c r="T22" i="7"/>
  <c r="E5" i="7"/>
  <c r="E4" i="7"/>
  <c r="J3" i="7"/>
  <c r="J5" i="7"/>
  <c r="J4" i="7"/>
  <c r="E2" i="7"/>
  <c r="O3" i="7"/>
  <c r="O4" i="7"/>
  <c r="O5" i="7"/>
  <c r="P31" i="7" l="1" a="1"/>
  <c r="Q34" i="7" s="1" a="1"/>
  <c r="Q34" i="7" s="1"/>
  <c r="R34" i="7" s="1"/>
  <c r="F14" i="7" a="1"/>
  <c r="G15" i="7" s="1" a="1"/>
  <c r="G15" i="7" s="1"/>
  <c r="H15" i="7" s="1"/>
  <c r="A14" i="7" a="1"/>
  <c r="B15" i="7" s="1" a="1"/>
  <c r="B15" i="7" s="1"/>
  <c r="C15" i="7" s="1"/>
  <c r="K14" i="7" a="1"/>
  <c r="Q32" i="7" l="1" a="1"/>
  <c r="Q32" i="7" s="1"/>
  <c r="R32" i="7" s="1"/>
  <c r="P31" i="7"/>
  <c r="Q33" i="7" a="1"/>
  <c r="Q33" i="7" s="1"/>
  <c r="R33" i="7" s="1"/>
  <c r="Q31" i="7" a="1"/>
  <c r="Q31" i="7" s="1"/>
  <c r="R31" i="7" s="1"/>
  <c r="G16" i="7" a="1"/>
  <c r="G16" i="7" s="1"/>
  <c r="H16" i="7" s="1"/>
  <c r="F14" i="7"/>
  <c r="G17" i="7" a="1"/>
  <c r="G17" i="7" s="1"/>
  <c r="H17" i="7" s="1"/>
  <c r="G14" i="7" a="1"/>
  <c r="G14" i="7" s="1"/>
  <c r="H14" i="7" s="1"/>
  <c r="B16" i="7" a="1"/>
  <c r="B16" i="7" s="1"/>
  <c r="C16" i="7" s="1"/>
  <c r="A14" i="7"/>
  <c r="B14" i="7" s="1" a="1"/>
  <c r="B14" i="7" s="1"/>
  <c r="C14" i="7" s="1"/>
  <c r="B17" i="7" a="1"/>
  <c r="B17" i="7" s="1"/>
  <c r="C17" i="7" s="1"/>
  <c r="L16" i="7" a="1"/>
  <c r="L16" i="7" s="1"/>
  <c r="M16" i="7" s="1"/>
  <c r="L15" i="7" a="1"/>
  <c r="L15" i="7" s="1"/>
  <c r="M15" i="7" s="1"/>
  <c r="K14" i="7"/>
  <c r="L17" i="7" a="1"/>
  <c r="L17" i="7" s="1"/>
  <c r="M17" i="7" s="1"/>
  <c r="A67" i="7" l="1" a="1"/>
  <c r="A67" i="7" s="1"/>
  <c r="A43" i="7" a="1"/>
  <c r="A43" i="7" s="1"/>
  <c r="A39" i="7" a="1"/>
  <c r="A39" i="7" s="1"/>
  <c r="L14" i="7" a="1"/>
  <c r="L14" i="7" s="1"/>
  <c r="M14" i="7" s="1"/>
  <c r="A47" i="7" l="1" a="1"/>
  <c r="A47" i="7" s="1"/>
  <c r="E39" i="7" l="1" a="1"/>
  <c r="E39" i="7" s="1"/>
  <c r="K39" i="7" a="1"/>
  <c r="J39" i="7" a="1"/>
  <c r="I39" i="7" a="1"/>
  <c r="H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<sst xmlns="http://schemas.openxmlformats.org/spreadsheetml/2006/main" count="353" uniqueCount="136">
  <si>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</si>
  <si>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</si>
  <si>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</si>
  <si>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</si>
  <si>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</si>
  <si>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</si>
  <si>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</si>
  <si>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</si>
  <si>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</si>
  <si>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</si>
  <si>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</si>
  <si>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</si>
  <si>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</si>
  <si>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</si>
  <si>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</si>
  <si>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</si>
  <si>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</si>
  <si>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</si>
  <si>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</si>
  <si>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</si>
  <si>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</si>
  <si>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</si>
  <si>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</si>
  <si>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</si>
  <si>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</si>
  <si>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</si>
  <si>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</si>
  <si>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</si>
  <si>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</si>
  <si>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</si>
  <si>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</si>
  <si>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</si>
  <si>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</si>
  <si>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</si>
  <si>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</si>
  <si>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</si>
  <si>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</si>
  <si>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</si>
  <si>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</si>
  <si>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</si>
  <si>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</si>
  <si>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</si>
  <si>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</si>
  <si>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</si>
  <si>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</si>
  <si>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</si>
  <si>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</si>
  <si>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</si>
  <si>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</si>
  <si>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</si>
  <si>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</si>
  <si>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</si>
  <si>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</si>
  <si>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</si>
  <si>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</si>
  <si>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</si>
  <si>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</si>
  <si>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</si>
  <si>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</si>
  <si>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</si>
  <si>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</si>
  <si>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</si>
  <si>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</si>
  <si>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</si>
  <si>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</si>
  <si>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</si>
  <si>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</si>
  <si>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</si>
  <si>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</si>
  <si>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</si>
  <si>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</si>
  <si>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</si>
  <si>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</si>
  <si>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</si>
  <si>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</si>
  <si>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</si>
  <si>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</si>
  <si>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</si>
  <si>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</si>
  <si>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</si>
  <si>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</si>
  <si>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</si>
  <si>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</si>
  <si>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</si>
  <si>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</si>
  <si>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</si>
  <si>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</si>
  <si>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</si>
  <si>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</si>
  <si>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</si>
  <si>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</si>
  <si>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</si>
  <si>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</si>
  <si>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</si>
  <si>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</si>
  <si>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</si>
  <si>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</si>
  <si>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</si>
  <si>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</si>
  <si>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</si>
  <si>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</si>
  <si>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</si>
  <si>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</si>
  <si>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</si>
  <si>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</si>
  <si>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</si>
  <si>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</si>
  <si>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</si>
  <si>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</si>
  <si>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</si>
  <si>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</si>
  <si>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</si>
  <si>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</si>
  <si>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</si>
  <si>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</si>
  <si>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</si>
  <si>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</si>
  <si>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</si>
  <si>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</si>
  <si>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</si>
  <si>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</si>
  <si>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</si>
  <si>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</si>
  <si>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</si>
  <si>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</si>
  <si>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</si>
  <si>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</si>
  <si>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</si>
  <si>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</si>
  <si>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</si>
  <si>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</si>
  <si>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</si>
  <si>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</si>
  <si>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</si>
  <si>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</si>
  <si>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COPPER BRACKET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</si>
</sst>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1" xfId="0" applyFont="1" applyFill="1" applyBorder="1"/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7" xfId="0" applyFill="1" applyBorder="1"/>
    <xf numFmtId="0" fontId="0" fillId="8" borderId="4" xfId="0" applyFill="1" applyBorder="1"/>
    <xf numFmtId="0" fontId="0" fillId="8" borderId="8" xfId="0" applyFill="1" applyBorder="1"/>
    <xf numFmtId="0" fontId="0" fillId="8" borderId="3" xfId="0" applyFill="1" applyBorder="1"/>
    <xf numFmtId="0" fontId="2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12" borderId="10" xfId="0" applyFill="1" applyBorder="1"/>
    <xf numFmtId="0" fontId="0" fillId="13" borderId="4" xfId="0" applyFill="1" applyBorder="1"/>
    <xf numFmtId="0" fontId="0" fillId="12" borderId="4" xfId="0" applyFill="1" applyBorder="1"/>
    <xf numFmtId="0" fontId="0" fillId="13" borderId="12" xfId="0" applyFill="1" applyBorder="1"/>
    <xf numFmtId="0" fontId="0" fillId="12" borderId="7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3" xfId="0" applyBorder="1"/>
    <xf numFmtId="0" fontId="2" fillId="26" borderId="9" xfId="13" applyFont="1" applyBorder="1" applyAlignment="1">
      <alignment horizontal="left"/>
    </xf>
    <xf numFmtId="0" fontId="0" fillId="0" borderId="9" xfId="0" applyBorder="1"/>
    <xf numFmtId="0" fontId="1" fillId="26" borderId="6" xfId="13" applyBorder="1"/>
    <xf numFmtId="0" fontId="2" fillId="26" borderId="5" xfId="13" applyFont="1" applyBorder="1" applyAlignment="1">
      <alignment horizontal="center"/>
    </xf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2" fillId="29" borderId="6" xfId="0" applyFont="1" applyFill="1" applyBorder="1" applyAlignment="1">
      <alignment horizontal="left"/>
    </xf>
    <xf numFmtId="18" fontId="11" fillId="29" borderId="9" xfId="0" applyNumberFormat="1" applyFont="1" applyFill="1" applyBorder="1" applyAlignment="1">
      <alignment horizontal="left"/>
    </xf>
    <xf numFmtId="18" fontId="11" fillId="29" borderId="6" xfId="0" applyNumberFormat="1" applyFont="1" applyFill="1" applyBorder="1" applyAlignment="1">
      <alignment horizontal="left"/>
    </xf>
    <xf numFmtId="0" fontId="11" fillId="29" borderId="10" xfId="0" applyFont="1" applyFill="1" applyBorder="1" applyAlignment="1">
      <alignment horizontal="center" vertical="center" wrapText="1"/>
    </xf>
    <xf numFmtId="0" fontId="11" fillId="29" borderId="4" xfId="0" applyFont="1" applyFill="1" applyBorder="1" applyAlignment="1">
      <alignment horizontal="center" vertical="center" wrapText="1"/>
    </xf>
    <xf numFmtId="0" fontId="11" fillId="29" borderId="12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49" fontId="11" fillId="29" borderId="10" xfId="0" applyNumberFormat="1" applyFont="1" applyFill="1" applyBorder="1" applyAlignment="1">
      <alignment horizontal="center" vertical="center" wrapText="1"/>
    </xf>
    <xf numFmtId="49" fontId="11" fillId="29" borderId="4" xfId="0" applyNumberFormat="1" applyFont="1" applyFill="1" applyBorder="1" applyAlignment="1">
      <alignment horizontal="center" vertical="center" wrapText="1"/>
    </xf>
    <xf numFmtId="49" fontId="11" fillId="29" borderId="12" xfId="0" applyNumberFormat="1" applyFont="1" applyFill="1" applyBorder="1" applyAlignment="1">
      <alignment horizontal="center" vertical="center" wrapText="1"/>
    </xf>
    <xf numFmtId="0" fontId="7" fillId="29" borderId="9" xfId="0" applyFont="1" applyFill="1" applyBorder="1" applyAlignment="1">
      <alignment horizontal="center"/>
    </xf>
    <xf numFmtId="0" fontId="7" fillId="29" borderId="5" xfId="0" applyFont="1" applyFill="1" applyBorder="1" applyAlignment="1">
      <alignment horizontal="center"/>
    </xf>
    <xf numFmtId="0" fontId="7" fillId="29" borderId="6" xfId="0" applyFont="1" applyFill="1" applyBorder="1" applyAlignment="1">
      <alignment horizontal="center"/>
    </xf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7" fillId="11" borderId="1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  <xf numFmtId="0" fontId="5" fillId="10" borderId="9" xfId="2" applyFont="1" applyFill="1" applyBorder="1" applyAlignment="1">
      <alignment horizontal="center"/>
    </xf>
    <xf numFmtId="0" fontId="5" fillId="10" borderId="6" xfId="2" applyFont="1" applyFill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</cellXfs>
  <cellStyles count="17"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61"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9523424"/>
        <c:axId val="731064672"/>
      </c:barChart>
      <c:catAx>
        <c:axId val="909523424"/>
        <c:scaling>
          <c:orientation val="minMax"/>
        </c:scaling>
        <c:delete val="0"/>
        <c:axPos val="b"/>
        <c:majorTickMark val="out"/>
        <c:minorTickMark val="none"/>
        <c:tickLblPos val="nextTo"/>
        <c:crossAx val="731064672"/>
        <c:crosses val="autoZero"/>
        <c:auto val="1"/>
        <c:lblAlgn val="ctr"/>
        <c:lblOffset val="100"/>
        <c:noMultiLvlLbl val="0"/>
      </c:catAx>
      <c:valAx>
        <c:axId val="7310646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9095234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1228725</xdr:colOff>
          <xdr:row>11</xdr:row>
          <xdr:rowOff>0</xdr:rowOff>
        </xdr:from>
        <xdr:to>
          <xdr:col>4</xdr:col>
          <xdr:colOff>523875</xdr:colOff>
          <xdr:row>13</xdr:row>
          <xdr:rowOff>9525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7</xdr:row>
          <xdr:rowOff>180975</xdr:rowOff>
        </xdr:from>
        <xdr:to>
          <xdr:col>2</xdr:col>
          <xdr:colOff>342900</xdr:colOff>
          <xdr:row>10</xdr:row>
          <xdr:rowOff>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342900</xdr:colOff>
          <xdr:row>13</xdr:row>
          <xdr:rowOff>9525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9525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219075</xdr:colOff>
      <xdr:row>4</xdr:row>
      <xdr:rowOff>76200</xdr:rowOff>
    </xdr:to>
    <xdr:graphicFrame macro="">
      <xdr:nvGraphicFramePr>
        <xdr:cNvPr id="208" name="Chart 207">
          <a:extLst>
            <a:ext uri="{FF2B5EF4-FFF2-40B4-BE49-F238E27FC236}">
              <a16:creationId xmlns:a16="http://schemas.microsoft.com/office/drawing/2014/main" id="{96069639-56ED-C3CF-034F-8EAB053B3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2:M37"/>
  <sheetViews>
    <sheetView zoomScaleNormal="100" workbookViewId="0">
      <selection activeCell="G4" sqref="G4"/>
    </sheetView>
  </sheetViews>
  <sheetFormatPr defaultRowHeight="15" x14ac:dyDescent="0.25"/>
  <cols>
    <col min="2" max="2" width="7.28515625" customWidth="1"/>
    <col min="3" max="4" width="9.140625" customWidth="1"/>
    <col min="6" max="7" width="9.140625" customWidth="1"/>
  </cols>
  <sheetData>
    <row r="2" spans="2:13" ht="21" x14ac:dyDescent="0.35">
      <c r="B2" s="131" t="s">
        <v>121</v>
      </c>
      <c r="C2" s="132"/>
      <c r="D2" s="132"/>
      <c r="E2" s="133"/>
      <c r="G2" s="112" t="s">
        <v>122</v>
      </c>
      <c r="I2" s="127">
        <f ca="1">NOW()</f>
        <v>45306.928956365744</v>
      </c>
      <c r="J2" s="127"/>
    </row>
    <row r="3" spans="2:13" x14ac:dyDescent="0.25">
      <c r="B3" s="128" t="s">
        <v>125</v>
      </c>
      <c r="C3" s="121" t="s">
        <v>120</v>
      </c>
      <c r="D3" s="122">
        <v>0.5</v>
      </c>
      <c r="E3" s="123"/>
    </row>
    <row r="4" spans="2:13" ht="15" customHeight="1" x14ac:dyDescent="0.25">
      <c r="B4" s="129"/>
      <c r="C4" s="115"/>
      <c r="E4" s="113"/>
      <c r="G4" s="114"/>
      <c r="H4" s="117" t="s">
        <v>124</v>
      </c>
      <c r="I4" s="116"/>
      <c r="K4" s="118"/>
      <c r="L4" s="119" t="s">
        <v>123</v>
      </c>
      <c r="M4" s="120"/>
    </row>
    <row r="5" spans="2:13" x14ac:dyDescent="0.25">
      <c r="B5" s="130"/>
      <c r="C5" s="121" t="s">
        <v>119</v>
      </c>
      <c r="D5" s="122">
        <f>D3+2/24</f>
        <v>0.58333333333333337</v>
      </c>
      <c r="E5" s="123"/>
    </row>
    <row r="6" spans="2:13" x14ac:dyDescent="0.25">
      <c r="B6" s="124" t="s">
        <v>126</v>
      </c>
      <c r="C6" s="121" t="s">
        <v>120</v>
      </c>
      <c r="D6" s="122">
        <v>0.875</v>
      </c>
      <c r="E6" s="123"/>
    </row>
    <row r="7" spans="2:13" x14ac:dyDescent="0.25">
      <c r="B7" s="125"/>
      <c r="C7" s="115"/>
      <c r="E7" s="113"/>
    </row>
    <row r="8" spans="2:13" x14ac:dyDescent="0.25">
      <c r="B8" s="126"/>
      <c r="C8" s="121" t="s">
        <v>119</v>
      </c>
      <c r="D8" s="122">
        <f>D6+2/24</f>
        <v>0.95833333333333337</v>
      </c>
      <c r="E8" s="123"/>
    </row>
    <row r="9" spans="2:13" x14ac:dyDescent="0.25">
      <c r="B9" s="124" t="s">
        <v>127</v>
      </c>
      <c r="C9" s="121" t="s">
        <v>120</v>
      </c>
      <c r="D9" s="122"/>
      <c r="E9" s="123"/>
    </row>
    <row r="10" spans="2:13" x14ac:dyDescent="0.25">
      <c r="B10" s="125"/>
      <c r="C10" s="115"/>
      <c r="E10" s="113"/>
    </row>
    <row r="11" spans="2:13" x14ac:dyDescent="0.25">
      <c r="B11" s="126"/>
      <c r="C11" s="121" t="s">
        <v>119</v>
      </c>
      <c r="D11" s="122">
        <f>D9+2/24</f>
        <v>8.3333333333333329E-2</v>
      </c>
      <c r="E11" s="123"/>
    </row>
    <row r="12" spans="2:13" x14ac:dyDescent="0.25">
      <c r="B12" s="124" t="s">
        <v>128</v>
      </c>
      <c r="C12" s="121" t="s">
        <v>120</v>
      </c>
      <c r="D12" s="122"/>
      <c r="E12" s="123"/>
    </row>
    <row r="13" spans="2:13" x14ac:dyDescent="0.25">
      <c r="B13" s="125"/>
      <c r="C13" s="115"/>
      <c r="E13" s="113"/>
    </row>
    <row r="14" spans="2:13" x14ac:dyDescent="0.25">
      <c r="B14" s="126"/>
      <c r="C14" s="121" t="s">
        <v>119</v>
      </c>
      <c r="D14" s="122">
        <f>D12+2/24</f>
        <v>8.3333333333333329E-2</v>
      </c>
      <c r="E14" s="123"/>
    </row>
    <row r="15" spans="2:13" x14ac:dyDescent="0.25">
      <c r="B15" s="124" t="s">
        <v>129</v>
      </c>
      <c r="C15" s="121" t="s">
        <v>120</v>
      </c>
      <c r="D15" s="122"/>
      <c r="E15" s="123"/>
    </row>
    <row r="16" spans="2:13" ht="15" customHeight="1" x14ac:dyDescent="0.25">
      <c r="B16" s="125"/>
      <c r="C16" s="115"/>
      <c r="E16" s="113"/>
    </row>
    <row r="17" spans="2:5" ht="15" customHeight="1" x14ac:dyDescent="0.25">
      <c r="B17" s="126"/>
      <c r="C17" s="121" t="s">
        <v>119</v>
      </c>
      <c r="D17" s="122">
        <f>D15+2/24</f>
        <v>8.3333333333333329E-2</v>
      </c>
      <c r="E17" s="123"/>
    </row>
    <row r="18" spans="2:5" x14ac:dyDescent="0.25">
      <c r="B18" s="124" t="s">
        <v>130</v>
      </c>
      <c r="C18" s="121" t="s">
        <v>120</v>
      </c>
      <c r="D18" s="122"/>
      <c r="E18" s="123"/>
    </row>
    <row r="19" spans="2:5" x14ac:dyDescent="0.25">
      <c r="B19" s="125"/>
      <c r="C19" s="115"/>
      <c r="E19" s="113"/>
    </row>
    <row r="20" spans="2:5" ht="15" customHeight="1" x14ac:dyDescent="0.25">
      <c r="B20" s="126"/>
      <c r="C20" s="121" t="s">
        <v>119</v>
      </c>
      <c r="D20" s="122">
        <f>D18+2/24</f>
        <v>8.3333333333333329E-2</v>
      </c>
      <c r="E20" s="123"/>
    </row>
    <row r="21" spans="2:5" x14ac:dyDescent="0.25">
      <c r="B21" s="124" t="s">
        <v>131</v>
      </c>
      <c r="C21" s="121" t="s">
        <v>120</v>
      </c>
      <c r="D21" s="122"/>
      <c r="E21" s="123"/>
    </row>
    <row r="22" spans="2:5" x14ac:dyDescent="0.25">
      <c r="B22" s="125"/>
      <c r="C22" s="115"/>
      <c r="E22" s="113"/>
    </row>
    <row r="23" spans="2:5" x14ac:dyDescent="0.25">
      <c r="B23" s="126"/>
      <c r="C23" s="121" t="s">
        <v>119</v>
      </c>
      <c r="D23" s="122">
        <f>D21+2/24</f>
        <v>8.3333333333333329E-2</v>
      </c>
      <c r="E23" s="123"/>
    </row>
    <row r="37" spans="7:7" x14ac:dyDescent="0.25">
      <c r="G37" s="58"/>
    </row>
  </sheetData>
  <mergeCells count="23"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  <mergeCell ref="D5:E5"/>
    <mergeCell ref="D3:E3"/>
    <mergeCell ref="D14:E14"/>
    <mergeCell ref="D12:E12"/>
    <mergeCell ref="D9:E9"/>
    <mergeCell ref="D8:E8"/>
    <mergeCell ref="D6:E6"/>
    <mergeCell ref="D11:E1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G8"/>
  <sheetViews>
    <sheetView workbookViewId="0">
      <selection activeCell="G8" sqref="G8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7" ht="15.75" x14ac:dyDescent="0.25">
      <c r="A1" s="134" t="s">
        <v>96</v>
      </c>
      <c r="B1" s="135"/>
      <c r="C1" s="136"/>
      <c r="D1" s="88"/>
      <c r="E1" s="88"/>
      <c r="F1" s="88"/>
      <c r="G1" s="88"/>
    </row>
    <row r="2" spans="1:7" x14ac:dyDescent="0.25">
      <c r="A2" s="106" t="s">
        <v>92</v>
      </c>
      <c r="B2" s="106" t="s">
        <v>93</v>
      </c>
      <c r="C2" s="106" t="s">
        <v>94</v>
      </c>
    </row>
    <row r="3" spans="1:7" x14ac:dyDescent="0.25">
      <c r="A3" s="83" t="s">
        <v>95</v>
      </c>
      <c r="B3" s="93">
        <v>32</v>
      </c>
      <c r="C3" s="94" t="s">
        <v>97</v>
      </c>
    </row>
    <row r="4" spans="1:7" x14ac:dyDescent="0.25">
      <c r="A4" s="99" t="s">
        <v>98</v>
      </c>
      <c r="B4" s="100">
        <v>4</v>
      </c>
      <c r="C4" s="105" t="s">
        <v>116</v>
      </c>
    </row>
    <row r="5" spans="1:7" x14ac:dyDescent="0.25">
      <c r="A5" s="90" t="s">
        <v>100</v>
      </c>
      <c r="B5" s="101">
        <v>8</v>
      </c>
      <c r="C5" s="95" t="s">
        <v>111</v>
      </c>
    </row>
    <row r="6" spans="1:7" x14ac:dyDescent="0.25">
      <c r="A6" s="91" t="s">
        <v>99</v>
      </c>
      <c r="B6" s="102">
        <v>8</v>
      </c>
      <c r="C6" s="96" t="s">
        <v>111</v>
      </c>
    </row>
    <row r="7" spans="1:7" x14ac:dyDescent="0.25">
      <c r="A7" s="89" t="s">
        <v>101</v>
      </c>
      <c r="B7" s="103">
        <v>8</v>
      </c>
      <c r="C7" s="97" t="s">
        <v>111</v>
      </c>
    </row>
    <row r="8" spans="1:7" ht="15.75" x14ac:dyDescent="0.25">
      <c r="A8" s="92" t="s">
        <v>102</v>
      </c>
      <c r="B8" s="104">
        <v>8</v>
      </c>
      <c r="C8" s="98" t="s">
        <v>111</v>
      </c>
      <c r="F8" s="87"/>
    </row>
  </sheetData>
  <mergeCells count="1">
    <mergeCell ref="A1:C1"/>
  </mergeCells>
  <phoneticPr fontId="3" type="noConversion"/>
  <dataValidations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topLeftCell="A7" zoomScale="112" zoomScaleNormal="112" workbookViewId="0">
      <selection activeCell="E33" sqref="E33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</cols>
  <sheetData>
    <row r="1" spans="1:6" ht="15.75" x14ac:dyDescent="0.25">
      <c r="A1" s="56" t="s">
        <v>9</v>
      </c>
      <c r="B1" s="29" t="s">
        <v>10</v>
      </c>
      <c r="C1" s="28" t="s">
        <v>11</v>
      </c>
      <c r="E1" s="58"/>
      <c r="F1" s="58"/>
    </row>
    <row r="2" spans="1:6" x14ac:dyDescent="0.25">
      <c r="A2" s="1">
        <v>1</v>
      </c>
      <c r="B2" t="s">
        <v>20</v>
      </c>
      <c r="C2" t="s">
        <v>48</v>
      </c>
    </row>
    <row r="3" spans="1:6" x14ac:dyDescent="0.25">
      <c r="A3" s="1">
        <v>2</v>
      </c>
      <c r="B3" t="s">
        <v>21</v>
      </c>
      <c r="C3" t="s">
        <v>49</v>
      </c>
    </row>
    <row r="4" spans="1:6" x14ac:dyDescent="0.25">
      <c r="A4" s="1">
        <v>3</v>
      </c>
      <c r="B4" t="s">
        <v>22</v>
      </c>
      <c r="C4" t="s">
        <v>50</v>
      </c>
    </row>
    <row r="5" spans="1:6" x14ac:dyDescent="0.25">
      <c r="A5" s="1">
        <v>4</v>
      </c>
      <c r="B5" t="s">
        <v>23</v>
      </c>
      <c r="C5" t="s">
        <v>51</v>
      </c>
    </row>
    <row r="6" spans="1:6" x14ac:dyDescent="0.25">
      <c r="A6" s="1">
        <v>5</v>
      </c>
      <c r="B6" t="s">
        <v>24</v>
      </c>
      <c r="C6" t="s">
        <v>52</v>
      </c>
    </row>
    <row r="7" spans="1:6" x14ac:dyDescent="0.25">
      <c r="A7" s="1">
        <v>6</v>
      </c>
      <c r="B7" t="s">
        <v>25</v>
      </c>
      <c r="C7" t="s">
        <v>53</v>
      </c>
    </row>
    <row r="8" spans="1:6" x14ac:dyDescent="0.25">
      <c r="A8" s="1">
        <v>7</v>
      </c>
      <c r="B8" t="s">
        <v>26</v>
      </c>
      <c r="C8" t="s">
        <v>54</v>
      </c>
    </row>
    <row r="9" spans="1:6" x14ac:dyDescent="0.25">
      <c r="A9" s="1">
        <v>8</v>
      </c>
      <c r="B9" t="s">
        <v>27</v>
      </c>
      <c r="C9" t="s">
        <v>55</v>
      </c>
    </row>
    <row r="10" spans="1:6" x14ac:dyDescent="0.25">
      <c r="A10" s="1">
        <v>9</v>
      </c>
      <c r="B10" t="s">
        <v>28</v>
      </c>
      <c r="C10" t="s">
        <v>56</v>
      </c>
    </row>
    <row r="11" spans="1:6" x14ac:dyDescent="0.25">
      <c r="A11" s="1">
        <v>10</v>
      </c>
      <c r="B11" t="s">
        <v>29</v>
      </c>
      <c r="C11" t="s">
        <v>57</v>
      </c>
    </row>
    <row r="12" spans="1:6" x14ac:dyDescent="0.25">
      <c r="A12" s="1">
        <v>11</v>
      </c>
      <c r="B12" t="s">
        <v>30</v>
      </c>
      <c r="C12" t="s">
        <v>58</v>
      </c>
    </row>
    <row r="13" spans="1:6" x14ac:dyDescent="0.25">
      <c r="A13" s="1">
        <v>12</v>
      </c>
      <c r="B13" t="s">
        <v>31</v>
      </c>
      <c r="C13" t="s">
        <v>59</v>
      </c>
    </row>
    <row r="14" spans="1:6" x14ac:dyDescent="0.25">
      <c r="A14" s="1">
        <v>13</v>
      </c>
      <c r="B14" t="s">
        <v>32</v>
      </c>
      <c r="C14" t="s">
        <v>60</v>
      </c>
    </row>
    <row r="15" spans="1:6" x14ac:dyDescent="0.25">
      <c r="A15" s="1">
        <v>14</v>
      </c>
      <c r="B15" t="s">
        <v>33</v>
      </c>
      <c r="C15" t="s">
        <v>61</v>
      </c>
    </row>
    <row r="16" spans="1:6" x14ac:dyDescent="0.25">
      <c r="A16" s="1">
        <v>15</v>
      </c>
      <c r="B16" t="s">
        <v>34</v>
      </c>
      <c r="C16" t="s">
        <v>62</v>
      </c>
    </row>
    <row r="17" spans="1:3" x14ac:dyDescent="0.25">
      <c r="A17" s="1">
        <v>16</v>
      </c>
      <c r="B17" t="s">
        <v>35</v>
      </c>
      <c r="C17" t="s">
        <v>63</v>
      </c>
    </row>
    <row r="18" spans="1:3" x14ac:dyDescent="0.25">
      <c r="A18" s="1">
        <v>17</v>
      </c>
      <c r="B18" t="s">
        <v>36</v>
      </c>
      <c r="C18" t="s">
        <v>64</v>
      </c>
    </row>
    <row r="19" spans="1:3" x14ac:dyDescent="0.25">
      <c r="A19" s="1">
        <v>18</v>
      </c>
      <c r="B19" t="s">
        <v>37</v>
      </c>
      <c r="C19" t="s">
        <v>65</v>
      </c>
    </row>
    <row r="20" spans="1:3" x14ac:dyDescent="0.25">
      <c r="A20" s="1">
        <v>19</v>
      </c>
      <c r="B20" t="s">
        <v>38</v>
      </c>
      <c r="C20" t="s">
        <v>66</v>
      </c>
    </row>
    <row r="21" spans="1:3" x14ac:dyDescent="0.25">
      <c r="A21" s="1">
        <v>20</v>
      </c>
      <c r="B21" t="s">
        <v>39</v>
      </c>
      <c r="C21" t="s">
        <v>67</v>
      </c>
    </row>
    <row r="22" spans="1:3" x14ac:dyDescent="0.25">
      <c r="A22" s="1">
        <v>21</v>
      </c>
      <c r="B22" t="s">
        <v>40</v>
      </c>
      <c r="C22" t="s">
        <v>68</v>
      </c>
    </row>
    <row r="23" spans="1:3" x14ac:dyDescent="0.25">
      <c r="A23" s="1">
        <v>22</v>
      </c>
      <c r="B23" t="s">
        <v>41</v>
      </c>
      <c r="C23" t="s">
        <v>69</v>
      </c>
    </row>
    <row r="24" spans="1:3" x14ac:dyDescent="0.25">
      <c r="A24" s="1">
        <v>23</v>
      </c>
      <c r="B24" t="s">
        <v>42</v>
      </c>
      <c r="C24" t="s">
        <v>70</v>
      </c>
    </row>
    <row r="25" spans="1:3" x14ac:dyDescent="0.25">
      <c r="A25" s="1">
        <v>24</v>
      </c>
      <c r="B25" t="s">
        <v>43</v>
      </c>
      <c r="C25" t="s">
        <v>71</v>
      </c>
    </row>
    <row r="26" spans="1:3" x14ac:dyDescent="0.25">
      <c r="A26" s="1">
        <v>25</v>
      </c>
      <c r="B26" t="s">
        <v>44</v>
      </c>
      <c r="C26" t="s">
        <v>72</v>
      </c>
    </row>
    <row r="27" spans="1:3" x14ac:dyDescent="0.25">
      <c r="A27" s="1">
        <v>26</v>
      </c>
      <c r="B27" t="s">
        <v>45</v>
      </c>
      <c r="C27" t="s">
        <v>73</v>
      </c>
    </row>
    <row r="28" spans="1:3" x14ac:dyDescent="0.25">
      <c r="A28" s="1">
        <v>27</v>
      </c>
      <c r="B28" t="s">
        <v>46</v>
      </c>
      <c r="C28" t="s">
        <v>74</v>
      </c>
    </row>
    <row r="29" spans="1:3" x14ac:dyDescent="0.25">
      <c r="A29" s="1">
        <v>28</v>
      </c>
      <c r="B29" t="s">
        <v>47</v>
      </c>
      <c r="C29" t="s">
        <v>75</v>
      </c>
    </row>
    <row r="30" spans="1:3" x14ac:dyDescent="0.25">
      <c r="A30" s="1">
        <v>29</v>
      </c>
      <c r="B30" t="s">
        <v>76</v>
      </c>
      <c r="C30" t="s">
        <v>77</v>
      </c>
    </row>
    <row r="31" spans="1:3" x14ac:dyDescent="0.25">
      <c r="A31" s="1">
        <v>30</v>
      </c>
      <c r="B31" t="s">
        <v>78</v>
      </c>
      <c r="C31" t="s">
        <v>79</v>
      </c>
    </row>
    <row r="32" spans="1:3" x14ac:dyDescent="0.25">
      <c r="A32" s="1">
        <v>31</v>
      </c>
      <c r="B32" t="s">
        <v>80</v>
      </c>
      <c r="C32" t="s">
        <v>81</v>
      </c>
    </row>
    <row r="33" spans="1:3" x14ac:dyDescent="0.25">
      <c r="A33" s="1">
        <v>32</v>
      </c>
      <c r="B33" t="s">
        <v>82</v>
      </c>
      <c r="C33" t="s">
        <v>83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0"/>
  <sheetViews>
    <sheetView zoomScale="170" zoomScaleNormal="170" workbookViewId="0">
      <selection activeCell="F15" sqref="F15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" x14ac:dyDescent="0.35">
      <c r="A1" s="137" t="s">
        <v>12</v>
      </c>
      <c r="B1" s="137"/>
      <c r="C1" s="137" t="s">
        <v>13</v>
      </c>
      <c r="D1" s="137"/>
      <c r="E1" s="137" t="s">
        <v>14</v>
      </c>
      <c r="F1" s="137"/>
      <c r="G1" s="137" t="s">
        <v>15</v>
      </c>
      <c r="H1" s="137"/>
    </row>
    <row r="2" spans="1:8" ht="15" customHeight="1" x14ac:dyDescent="0.25">
      <c r="A2" s="30" t="s">
        <v>20</v>
      </c>
      <c r="B2" s="34" t="str">
        <f>IF(ISBLANK(A2),"",_xlfn.XLOOKUP(A2,'Team List'!$B$2:$B$33,'Team List'!$C$2:$C$33,"N/A"))</f>
        <v>team 1</v>
      </c>
      <c r="C2" s="30" t="s">
        <v>24</v>
      </c>
      <c r="D2" s="34" t="str">
        <f>IF(ISBLANK(C2),"",_xlfn.XLOOKUP(C2,'Team List'!$B$2:$B$33,'Team List'!$C$2:$C$33,"N/A"))</f>
        <v>team 5</v>
      </c>
      <c r="E2" s="30" t="s">
        <v>28</v>
      </c>
      <c r="F2" s="34" t="str">
        <f>IF(ISBLANK(E2),"",_xlfn.XLOOKUP(E2,'Team List'!$B$2:$B$33,'Team List'!$C$2:$C$33,"N/A"))</f>
        <v>team 9</v>
      </c>
      <c r="G2" s="30" t="s">
        <v>32</v>
      </c>
      <c r="H2" s="34" t="str">
        <f>IF(ISBLANK(G2),"",_xlfn.XLOOKUP(G2,'Team List'!$B$2:$B$33,'Team List'!$C$2:$C$33,"N/A"))</f>
        <v>team 13</v>
      </c>
    </row>
    <row r="3" spans="1:8" ht="15" customHeight="1" x14ac:dyDescent="0.25">
      <c r="A3" s="31" t="s">
        <v>21</v>
      </c>
      <c r="B3" s="35" t="str">
        <f>IF(ISBLANK(A3),"",_xlfn.XLOOKUP(A3,'Team List'!$B$2:$B$33,'Team List'!$C$2:$C$33,"N/A"))</f>
        <v>team 2</v>
      </c>
      <c r="C3" s="31" t="s">
        <v>25</v>
      </c>
      <c r="D3" s="35" t="str">
        <f>IF(ISBLANK(C3),"",_xlfn.XLOOKUP(C3,'Team List'!$B$2:$B$33,'Team List'!$C$2:$C$33,"N/A"))</f>
        <v>team 6</v>
      </c>
      <c r="E3" s="31" t="s">
        <v>29</v>
      </c>
      <c r="F3" s="35" t="str">
        <f>IF(ISBLANK(E3),"",_xlfn.XLOOKUP(E3,'Team List'!$B$2:$B$33,'Team List'!$C$2:$C$33,"N/A"))</f>
        <v>team 10</v>
      </c>
      <c r="G3" s="31" t="s">
        <v>33</v>
      </c>
      <c r="H3" s="35" t="str">
        <f>IF(ISBLANK(G3),"",_xlfn.XLOOKUP(G3,'Team List'!$B$2:$B$33,'Team List'!$C$2:$C$33,"N/A"))</f>
        <v>team 14</v>
      </c>
    </row>
    <row r="4" spans="1:8" ht="15" customHeight="1" x14ac:dyDescent="0.25">
      <c r="A4" s="32" t="s">
        <v>22</v>
      </c>
      <c r="B4" s="36" t="str">
        <f>IF(ISBLANK(A4),"",_xlfn.XLOOKUP(A4,'Team List'!$B$2:$B$33,'Team List'!$C$2:$C$33,"N/A"))</f>
        <v>team 3</v>
      </c>
      <c r="C4" s="32" t="s">
        <v>26</v>
      </c>
      <c r="D4" s="36" t="str">
        <f>IF(ISBLANK(C4),"",_xlfn.XLOOKUP(C4,'Team List'!$B$2:$B$33,'Team List'!$C$2:$C$33,"N/A"))</f>
        <v>team 7</v>
      </c>
      <c r="E4" s="32" t="s">
        <v>30</v>
      </c>
      <c r="F4" s="36" t="str">
        <f>IF(ISBLANK(E4),"",_xlfn.XLOOKUP(E4,'Team List'!$B$2:$B$33,'Team List'!$C$2:$C$33,"N/A"))</f>
        <v>team 11</v>
      </c>
      <c r="G4" s="32" t="s">
        <v>34</v>
      </c>
      <c r="H4" s="36" t="str">
        <f>IF(ISBLANK(G4),"",_xlfn.XLOOKUP(G4,'Team List'!$B$2:$B$33,'Team List'!$C$2:$C$33,"N/A"))</f>
        <v>team 15</v>
      </c>
    </row>
    <row r="5" spans="1:8" ht="15" customHeight="1" x14ac:dyDescent="0.25">
      <c r="A5" s="33" t="s">
        <v>23</v>
      </c>
      <c r="B5" s="37" t="str">
        <f>IF(ISBLANK(A5),"",_xlfn.XLOOKUP(A5,'Team List'!$B$2:$B$33,'Team List'!$C$2:$C$33,"N/A"))</f>
        <v>team 4</v>
      </c>
      <c r="C5" s="33" t="s">
        <v>27</v>
      </c>
      <c r="D5" s="37" t="str">
        <f>IF(ISBLANK(C5),"",_xlfn.XLOOKUP(C5,'Team List'!$B$2:$B$33,'Team List'!$C$2:$C$33,"N/A"))</f>
        <v>team 8</v>
      </c>
      <c r="E5" s="33" t="s">
        <v>31</v>
      </c>
      <c r="F5" s="37" t="str">
        <f>IF(ISBLANK(E5),"",_xlfn.XLOOKUP(E5,'Team List'!$B$2:$B$33,'Team List'!$C$2:$C$33,"N/A"))</f>
        <v>team 12</v>
      </c>
      <c r="G5" s="33" t="s">
        <v>35</v>
      </c>
      <c r="H5" s="37" t="str">
        <f>IF(ISBLANK(G5),"",_xlfn.XLOOKUP(G5,'Team List'!$B$2:$B$33,'Team List'!$C$2:$C$33,"N/A"))</f>
        <v>team 16</v>
      </c>
    </row>
    <row r="6" spans="1:8" ht="21" customHeight="1" x14ac:dyDescent="0.35">
      <c r="A6" s="137" t="s">
        <v>16</v>
      </c>
      <c r="B6" s="137"/>
      <c r="C6" s="137" t="s">
        <v>17</v>
      </c>
      <c r="D6" s="137"/>
      <c r="E6" s="137" t="s">
        <v>18</v>
      </c>
      <c r="F6" s="137"/>
      <c r="G6" s="137" t="s">
        <v>19</v>
      </c>
      <c r="H6" s="137"/>
    </row>
    <row r="7" spans="1:8" ht="15" customHeight="1" x14ac:dyDescent="0.25">
      <c r="A7" s="30" t="s">
        <v>36</v>
      </c>
      <c r="B7" s="34" t="str">
        <f>IF(ISBLANK(A7),"",_xlfn.XLOOKUP(A7,'Team List'!$B$2:$B$33,'Team List'!$C$2:$C$33,"N/A"))</f>
        <v>team 17</v>
      </c>
      <c r="C7" s="30" t="s">
        <v>40</v>
      </c>
      <c r="D7" s="34" t="str">
        <f>IF(ISBLANK(C7),"",_xlfn.XLOOKUP(C7,'Team List'!$B$2:$B$33,'Team List'!$C$2:$C$33,"N/A"))</f>
        <v>team 21</v>
      </c>
      <c r="E7" s="30" t="s">
        <v>44</v>
      </c>
      <c r="F7" s="34" t="str">
        <f>IF(ISBLANK(E7),"",_xlfn.XLOOKUP(E7,'Team List'!$B$2:$B$33,'Team List'!$C$2:$C$33,"N/A"))</f>
        <v>team 25</v>
      </c>
      <c r="G7" s="30" t="s">
        <v>76</v>
      </c>
      <c r="H7" s="34" t="str">
        <f>IF(ISBLANK(G7),"",_xlfn.XLOOKUP(G7,'Team List'!$B$2:$B$33,'Team List'!$C$2:$C$33,"N/A"))</f>
        <v>team 29</v>
      </c>
    </row>
    <row r="8" spans="1:8" ht="15" customHeight="1" x14ac:dyDescent="0.25">
      <c r="A8" s="31" t="s">
        <v>37</v>
      </c>
      <c r="B8" s="35" t="str">
        <f>IF(ISBLANK(A8),"",_xlfn.XLOOKUP(A8,'Team List'!$B$2:$B$33,'Team List'!$C$2:$C$33,"N/A"))</f>
        <v>team 18</v>
      </c>
      <c r="C8" s="31" t="s">
        <v>41</v>
      </c>
      <c r="D8" s="35" t="str">
        <f>IF(ISBLANK(C8),"",_xlfn.XLOOKUP(C8,'Team List'!$B$2:$B$33,'Team List'!$C$2:$C$33,"N/A"))</f>
        <v>team 22</v>
      </c>
      <c r="E8" s="31" t="s">
        <v>45</v>
      </c>
      <c r="F8" s="35" t="str">
        <f>IF(ISBLANK(E8),"",_xlfn.XLOOKUP(E8,'Team List'!$B$2:$B$33,'Team List'!$C$2:$C$33,"N/A"))</f>
        <v>team 26</v>
      </c>
      <c r="G8" s="31" t="s">
        <v>78</v>
      </c>
      <c r="H8" s="35" t="str">
        <f>IF(ISBLANK(G8),"",_xlfn.XLOOKUP(G8,'Team List'!$B$2:$B$33,'Team List'!$C$2:$C$33,"N/A"))</f>
        <v>team 30</v>
      </c>
    </row>
    <row r="9" spans="1:8" x14ac:dyDescent="0.25">
      <c r="A9" s="32" t="s">
        <v>38</v>
      </c>
      <c r="B9" s="36" t="str">
        <f>IF(ISBLANK(A9),"",_xlfn.XLOOKUP(A9,'Team List'!$B$2:$B$33,'Team List'!$C$2:$C$33,"N/A"))</f>
        <v>team 19</v>
      </c>
      <c r="C9" s="32" t="s">
        <v>42</v>
      </c>
      <c r="D9" s="36" t="str">
        <f>IF(ISBLANK(C9),"",_xlfn.XLOOKUP(C9,'Team List'!$B$2:$B$33,'Team List'!$C$2:$C$33,"N/A"))</f>
        <v>team 23</v>
      </c>
      <c r="E9" s="32" t="s">
        <v>46</v>
      </c>
      <c r="F9" s="36" t="str">
        <f>IF(ISBLANK(E9),"",_xlfn.XLOOKUP(E9,'Team List'!$B$2:$B$33,'Team List'!$C$2:$C$33,"N/A"))</f>
        <v>team 27</v>
      </c>
      <c r="G9" s="32" t="s">
        <v>80</v>
      </c>
      <c r="H9" s="36" t="str">
        <f>IF(ISBLANK(G9),"",_xlfn.XLOOKUP(G9,'Team List'!$B$2:$B$33,'Team List'!$C$2:$C$33,"N/A"))</f>
        <v>team 31</v>
      </c>
    </row>
    <row r="10" spans="1:8" x14ac:dyDescent="0.25">
      <c r="A10" s="33" t="s">
        <v>39</v>
      </c>
      <c r="B10" s="37" t="str">
        <f>IF(ISBLANK(A10),"",_xlfn.XLOOKUP(A10,'Team List'!$B$2:$B$33,'Team List'!$C$2:$C$33,"N/A"))</f>
        <v>team 20</v>
      </c>
      <c r="C10" s="33" t="s">
        <v>43</v>
      </c>
      <c r="D10" s="37" t="str">
        <f>IF(ISBLANK(C10),"",_xlfn.XLOOKUP(C10,'Team List'!$B$2:$B$33,'Team List'!$C$2:$C$33,"N/A"))</f>
        <v>team 24</v>
      </c>
      <c r="E10" s="33" t="s">
        <v>47</v>
      </c>
      <c r="F10" s="37" t="str">
        <f>IF(ISBLANK(E10),"",_xlfn.XLOOKUP(E10,'Team List'!$B$2:$B$33,'Team List'!$C$2:$C$33,"N/A"))</f>
        <v>team 28</v>
      </c>
      <c r="G10" s="33" t="s">
        <v>82</v>
      </c>
      <c r="H10" s="37" t="str">
        <f>IF(ISBLANK(G10),"",_xlfn.XLOOKUP(G10,'Team List'!$B$2:$B$33,'Team List'!$C$2:$C$33,"N/A"))</f>
        <v>team 32</v>
      </c>
    </row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A7:A10 C7:C10 E7:E10 G7:G10 C2:C5 E2:E5 G2:G5">
    <cfRule type="duplicateValues" dxfId="36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1228725</xdr:colOff>
                <xdr:row>11</xdr:row>
                <xdr:rowOff>0</xdr:rowOff>
              </from>
              <to>
                <xdr:col>4</xdr:col>
                <xdr:colOff>523875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761189-2D93-4A37-A507-C74F2158D473}">
          <x14:formula1>
            <xm:f>'Team List'!$B$2:$B$33</xm:f>
          </x14:formula1>
          <xm:sqref>A7:A10 E7:E10 C7:C10 G7:G10 A2:A5 C2 E2 G2:G5</xm:sqref>
        </x14:dataValidation>
        <x14:dataValidation type="list" allowBlank="1" showInputMessage="1" showErrorMessage="1" xr:uid="{E37437AA-576A-494D-9F8F-4DDDCF0D982D}">
          <x14:formula1>
            <xm:f>'Team List'!$F$2:$F$33</xm:f>
          </x14:formula1>
          <xm:sqref>E3:E5 C3:C5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zoomScale="200" zoomScaleNormal="200" workbookViewId="0">
      <selection activeCell="M13" sqref="M13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138" t="s">
        <v>117</v>
      </c>
      <c r="C1" s="138"/>
      <c r="D1" s="138"/>
    </row>
    <row r="2" spans="2:10" ht="18" customHeight="1" x14ac:dyDescent="0.25">
      <c r="C2" s="139"/>
      <c r="D2" s="139"/>
      <c r="E2" s="139"/>
      <c r="F2" s="139"/>
    </row>
    <row r="3" spans="2:10" ht="15.75" thickBot="1" x14ac:dyDescent="0.3"/>
    <row r="4" spans="2:10" ht="16.5" thickBot="1" x14ac:dyDescent="0.3">
      <c r="B4" s="140"/>
      <c r="C4" s="149"/>
      <c r="D4" s="150"/>
    </row>
    <row r="5" spans="2:10" ht="16.5" thickBot="1" x14ac:dyDescent="0.3">
      <c r="B5" s="141"/>
      <c r="C5" s="49"/>
      <c r="D5" s="50"/>
      <c r="E5" s="147"/>
      <c r="F5" s="148"/>
    </row>
    <row r="6" spans="2:10" ht="16.5" thickBot="1" x14ac:dyDescent="0.3">
      <c r="B6" s="141"/>
      <c r="C6" s="45"/>
      <c r="D6" s="46"/>
      <c r="E6" s="51"/>
      <c r="F6" s="52"/>
      <c r="G6" s="145"/>
      <c r="H6" s="146"/>
    </row>
    <row r="7" spans="2:10" ht="16.5" thickBot="1" x14ac:dyDescent="0.3">
      <c r="B7" s="142"/>
      <c r="C7" s="57"/>
      <c r="D7" s="40"/>
      <c r="E7" s="53"/>
      <c r="F7" s="40"/>
      <c r="G7" s="43"/>
      <c r="H7" s="54"/>
      <c r="I7" s="143"/>
      <c r="J7" s="144"/>
    </row>
    <row r="9" spans="2:10" ht="15" customHeight="1" x14ac:dyDescent="0.25">
      <c r="E9" t="s">
        <v>112</v>
      </c>
      <c r="F9" s="110"/>
      <c r="G9" t="s">
        <v>118</v>
      </c>
    </row>
    <row r="10" spans="2:10" ht="15" customHeight="1" x14ac:dyDescent="0.25">
      <c r="E10" t="s">
        <v>113</v>
      </c>
      <c r="F10" s="110"/>
      <c r="G10" s="11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4" r:id="rId4" name="PreBracketCreation">
          <controlPr defaultSize="0" autoLine="0" r:id="rId5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4" name="PreBracketCreation"/>
      </mc:Fallback>
    </mc:AlternateContent>
    <mc:AlternateContent xmlns:mc="http://schemas.openxmlformats.org/markup-compatibility/2006">
      <mc:Choice Requires="x14">
        <control shapeId="2063" r:id="rId6" name="BracketCreation">
          <controlPr defaultSize="0" autoLine="0" r:id="rId7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9525</xdr:rowOff>
              </to>
            </anchor>
          </controlPr>
        </control>
      </mc:Choice>
      <mc:Fallback>
        <control shapeId="2063" r:id="rId6" name="BracketCreation"/>
      </mc:Fallback>
    </mc:AlternateContent>
    <mc:AlternateContent xmlns:mc="http://schemas.openxmlformats.org/markup-compatibility/2006">
      <mc:Choice Requires="x14">
        <control shapeId="2059" r:id="rId8" name="TeamSelection">
          <controlPr autoLine="0" listFillRange="'Team List'!C2:C33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8" name="TeamSelection"/>
      </mc:Fallback>
    </mc:AlternateContent>
    <mc:AlternateContent xmlns:mc="http://schemas.openxmlformats.org/markup-compatibility/2006">
      <mc:Choice Requires="x14">
        <control shapeId="2061" r:id="rId10" name="SavePool">
          <controlPr defaultSize="0" autoLine="0" r:id="rId11">
            <anchor>
              <from>
                <xdr:col>0</xdr:col>
                <xdr:colOff>600075</xdr:colOff>
                <xdr:row>7</xdr:row>
                <xdr:rowOff>180975</xdr:rowOff>
              </from>
              <to>
                <xdr:col>2</xdr:col>
                <xdr:colOff>342900</xdr:colOff>
                <xdr:row>10</xdr:row>
                <xdr:rowOff>0</xdr:rowOff>
              </to>
            </anchor>
          </controlPr>
        </control>
      </mc:Choice>
      <mc:Fallback>
        <control shapeId="2061" r:id="rId10" name="SavePoo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38" customFormat="1" ht="16.5" customHeight="1" thickBot="1" x14ac:dyDescent="0.3">
      <c r="B2" s="140" t="s">
        <v>12</v>
      </c>
      <c r="C2" s="151" t="s">
        <v>48</v>
      </c>
      <c r="D2" s="152"/>
      <c r="L2" s="140" t="s">
        <v>16</v>
      </c>
      <c r="M2" s="151" t="s">
        <v>64</v>
      </c>
      <c r="N2" s="152"/>
      <c r="V2"/>
      <c r="W2"/>
      <c r="X2"/>
      <c r="Y2"/>
      <c r="Z2"/>
      <c r="AA2"/>
      <c r="AB2"/>
      <c r="AC2"/>
      <c r="AD2"/>
    </row>
    <row r="3" spans="2:30" s="38" customFormat="1" ht="16.5" thickBot="1" x14ac:dyDescent="0.3">
      <c r="B3" s="141"/>
      <c r="C3" s="49">
        <v>26</v>
      </c>
      <c r="D3" s="50">
        <v>6</v>
      </c>
      <c r="E3" s="153" t="s">
        <v>49</v>
      </c>
      <c r="F3" s="154"/>
      <c r="L3" s="141"/>
      <c r="M3" s="49">
        <v>30</v>
      </c>
      <c r="N3" s="50">
        <v>25</v>
      </c>
      <c r="O3" s="153" t="s">
        <v>65</v>
      </c>
      <c r="P3" s="154"/>
      <c r="V3"/>
      <c r="W3"/>
      <c r="X3"/>
      <c r="Y3"/>
      <c r="Z3"/>
      <c r="AA3"/>
      <c r="AB3"/>
      <c r="AC3"/>
      <c r="AD3"/>
    </row>
    <row r="4" spans="2:30" s="38" customFormat="1" ht="16.5" thickBot="1" x14ac:dyDescent="0.3">
      <c r="B4" s="141"/>
      <c r="C4" s="45">
        <v>24</v>
      </c>
      <c r="D4" s="46">
        <v>9</v>
      </c>
      <c r="E4" s="47">
        <v>20</v>
      </c>
      <c r="F4" s="48">
        <v>26</v>
      </c>
      <c r="G4" s="155" t="s">
        <v>50</v>
      </c>
      <c r="H4" s="156"/>
      <c r="L4" s="141"/>
      <c r="M4" s="45">
        <v>5</v>
      </c>
      <c r="N4" s="46">
        <v>23</v>
      </c>
      <c r="O4" s="47">
        <v>8</v>
      </c>
      <c r="P4" s="48">
        <v>16</v>
      </c>
      <c r="Q4" s="155" t="s">
        <v>66</v>
      </c>
      <c r="R4" s="156"/>
      <c r="V4"/>
      <c r="W4"/>
      <c r="X4"/>
      <c r="Y4"/>
      <c r="Z4"/>
      <c r="AA4"/>
      <c r="AB4"/>
      <c r="AC4"/>
      <c r="AD4"/>
    </row>
    <row r="5" spans="2:30" s="38" customFormat="1" ht="16.5" thickBot="1" x14ac:dyDescent="0.3">
      <c r="B5" s="142"/>
      <c r="C5" s="39">
        <v>2</v>
      </c>
      <c r="D5" s="40">
        <v>27</v>
      </c>
      <c r="E5" s="41">
        <v>13</v>
      </c>
      <c r="F5" s="42">
        <v>4</v>
      </c>
      <c r="G5" s="43">
        <v>9</v>
      </c>
      <c r="H5" s="44">
        <v>30</v>
      </c>
      <c r="I5" s="157" t="s">
        <v>51</v>
      </c>
      <c r="J5" s="158"/>
      <c r="L5" s="142"/>
      <c r="M5" s="39">
        <v>26</v>
      </c>
      <c r="N5" s="40">
        <v>4</v>
      </c>
      <c r="O5" s="41">
        <v>20</v>
      </c>
      <c r="P5" s="42">
        <v>24</v>
      </c>
      <c r="Q5" s="43">
        <v>12</v>
      </c>
      <c r="R5" s="44">
        <v>23</v>
      </c>
      <c r="S5" s="157" t="s">
        <v>67</v>
      </c>
      <c r="T5" s="158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140" t="s">
        <v>13</v>
      </c>
      <c r="C8" s="151" t="s">
        <v>52</v>
      </c>
      <c r="D8" s="152"/>
      <c r="E8" s="38"/>
      <c r="F8" s="38"/>
      <c r="G8" s="38"/>
      <c r="H8" s="38"/>
      <c r="I8" s="38"/>
      <c r="J8" s="38"/>
      <c r="L8" s="140" t="s">
        <v>17</v>
      </c>
      <c r="M8" s="151" t="s">
        <v>68</v>
      </c>
      <c r="N8" s="152"/>
      <c r="O8" s="38"/>
      <c r="P8" s="38"/>
      <c r="Q8" s="38"/>
      <c r="R8" s="38"/>
      <c r="S8" s="38"/>
      <c r="T8" s="38"/>
    </row>
    <row r="9" spans="2:30" ht="16.5" thickBot="1" x14ac:dyDescent="0.3">
      <c r="B9" s="141"/>
      <c r="C9" s="49">
        <v>9</v>
      </c>
      <c r="D9" s="50">
        <v>4</v>
      </c>
      <c r="E9" s="153" t="s">
        <v>53</v>
      </c>
      <c r="F9" s="154"/>
      <c r="G9" s="38"/>
      <c r="H9" s="38"/>
      <c r="I9" s="38"/>
      <c r="J9" s="38"/>
      <c r="L9" s="141"/>
      <c r="M9" s="49">
        <v>3</v>
      </c>
      <c r="N9" s="50">
        <v>24</v>
      </c>
      <c r="O9" s="153" t="s">
        <v>69</v>
      </c>
      <c r="P9" s="154"/>
      <c r="Q9" s="38"/>
      <c r="R9" s="38"/>
      <c r="S9" s="38"/>
      <c r="T9" s="38"/>
    </row>
    <row r="10" spans="2:30" ht="16.5" thickBot="1" x14ac:dyDescent="0.3">
      <c r="B10" s="141"/>
      <c r="C10" s="45">
        <v>20</v>
      </c>
      <c r="D10" s="46">
        <v>17</v>
      </c>
      <c r="E10" s="47">
        <v>10</v>
      </c>
      <c r="F10" s="48">
        <v>19</v>
      </c>
      <c r="G10" s="155" t="s">
        <v>54</v>
      </c>
      <c r="H10" s="156"/>
      <c r="I10" s="38"/>
      <c r="J10" s="38"/>
      <c r="L10" s="141"/>
      <c r="M10" s="45">
        <v>3</v>
      </c>
      <c r="N10" s="46">
        <v>10</v>
      </c>
      <c r="O10" s="47">
        <v>15</v>
      </c>
      <c r="P10" s="48">
        <v>16</v>
      </c>
      <c r="Q10" s="155" t="s">
        <v>70</v>
      </c>
      <c r="R10" s="156"/>
      <c r="S10" s="38"/>
      <c r="T10" s="38"/>
    </row>
    <row r="11" spans="2:30" ht="16.5" thickBot="1" x14ac:dyDescent="0.3">
      <c r="B11" s="142"/>
      <c r="C11" s="39">
        <v>30</v>
      </c>
      <c r="D11" s="40">
        <v>19</v>
      </c>
      <c r="E11" s="41">
        <v>23</v>
      </c>
      <c r="F11" s="42">
        <v>27</v>
      </c>
      <c r="G11" s="43">
        <v>11</v>
      </c>
      <c r="H11" s="44">
        <v>29</v>
      </c>
      <c r="I11" s="157" t="s">
        <v>55</v>
      </c>
      <c r="J11" s="158"/>
      <c r="L11" s="142"/>
      <c r="M11" s="39">
        <v>3</v>
      </c>
      <c r="N11" s="40">
        <v>27</v>
      </c>
      <c r="O11" s="41">
        <v>26</v>
      </c>
      <c r="P11" s="42">
        <v>8</v>
      </c>
      <c r="Q11" s="43">
        <v>2</v>
      </c>
      <c r="R11" s="44">
        <v>21</v>
      </c>
      <c r="S11" s="157" t="s">
        <v>71</v>
      </c>
      <c r="T11" s="158"/>
    </row>
    <row r="13" spans="2:30" ht="15.75" thickBot="1" x14ac:dyDescent="0.3"/>
    <row r="14" spans="2:30" ht="16.5" customHeight="1" thickBot="1" x14ac:dyDescent="0.3">
      <c r="B14" s="140" t="s">
        <v>14</v>
      </c>
      <c r="C14" s="151" t="s">
        <v>56</v>
      </c>
      <c r="D14" s="152"/>
      <c r="E14" s="38"/>
      <c r="F14" s="38"/>
      <c r="G14" s="38"/>
      <c r="H14" s="38"/>
      <c r="I14" s="38"/>
      <c r="J14" s="38"/>
      <c r="L14" s="140" t="s">
        <v>18</v>
      </c>
      <c r="M14" s="151" t="s">
        <v>72</v>
      </c>
      <c r="N14" s="152"/>
      <c r="O14" s="38"/>
      <c r="P14" s="38"/>
      <c r="Q14" s="38"/>
      <c r="R14" s="38"/>
      <c r="S14" s="38"/>
      <c r="T14" s="38"/>
    </row>
    <row r="15" spans="2:30" ht="16.5" thickBot="1" x14ac:dyDescent="0.3">
      <c r="B15" s="141"/>
      <c r="C15" s="49">
        <v>20</v>
      </c>
      <c r="D15" s="50">
        <v>26</v>
      </c>
      <c r="E15" s="153" t="s">
        <v>57</v>
      </c>
      <c r="F15" s="154"/>
      <c r="G15" s="38"/>
      <c r="H15" s="38"/>
      <c r="I15" s="38"/>
      <c r="J15" s="38"/>
      <c r="L15" s="141"/>
      <c r="M15" s="49">
        <v>12</v>
      </c>
      <c r="N15" s="50">
        <v>9</v>
      </c>
      <c r="O15" s="153" t="s">
        <v>73</v>
      </c>
      <c r="P15" s="154"/>
      <c r="Q15" s="38"/>
      <c r="R15" s="38"/>
      <c r="S15" s="38"/>
      <c r="T15" s="38"/>
    </row>
    <row r="16" spans="2:30" ht="16.5" thickBot="1" x14ac:dyDescent="0.3">
      <c r="B16" s="141"/>
      <c r="C16" s="45">
        <v>12</v>
      </c>
      <c r="D16" s="46">
        <v>21</v>
      </c>
      <c r="E16" s="47">
        <v>5</v>
      </c>
      <c r="F16" s="48">
        <v>24</v>
      </c>
      <c r="G16" s="155" t="s">
        <v>58</v>
      </c>
      <c r="H16" s="156"/>
      <c r="I16" s="38"/>
      <c r="J16" s="38"/>
      <c r="L16" s="141"/>
      <c r="M16" s="45">
        <v>18</v>
      </c>
      <c r="N16" s="46">
        <v>20</v>
      </c>
      <c r="O16" s="47">
        <v>3</v>
      </c>
      <c r="P16" s="48">
        <v>14</v>
      </c>
      <c r="Q16" s="155" t="s">
        <v>74</v>
      </c>
      <c r="R16" s="156"/>
      <c r="S16" s="38"/>
      <c r="T16" s="38"/>
    </row>
    <row r="17" spans="2:20" ht="16.5" thickBot="1" x14ac:dyDescent="0.3">
      <c r="B17" s="142"/>
      <c r="C17" s="39">
        <v>17</v>
      </c>
      <c r="D17" s="40">
        <v>2</v>
      </c>
      <c r="E17" s="41">
        <v>18</v>
      </c>
      <c r="F17" s="42">
        <v>12</v>
      </c>
      <c r="G17" s="43">
        <v>19</v>
      </c>
      <c r="H17" s="44">
        <v>23</v>
      </c>
      <c r="I17" s="157" t="s">
        <v>59</v>
      </c>
      <c r="J17" s="158"/>
      <c r="L17" s="142"/>
      <c r="M17" s="39">
        <v>28</v>
      </c>
      <c r="N17" s="40">
        <v>14</v>
      </c>
      <c r="O17" s="41">
        <v>16</v>
      </c>
      <c r="P17" s="42">
        <v>9</v>
      </c>
      <c r="Q17" s="43">
        <v>23</v>
      </c>
      <c r="R17" s="44">
        <v>4</v>
      </c>
      <c r="S17" s="157" t="s">
        <v>75</v>
      </c>
      <c r="T17" s="158"/>
    </row>
    <row r="19" spans="2:20" ht="15.75" thickBot="1" x14ac:dyDescent="0.3"/>
    <row r="20" spans="2:20" ht="16.5" customHeight="1" thickBot="1" x14ac:dyDescent="0.3">
      <c r="B20" s="140" t="s">
        <v>15</v>
      </c>
      <c r="C20" s="151" t="s">
        <v>60</v>
      </c>
      <c r="D20" s="152"/>
      <c r="E20" s="38"/>
      <c r="F20" s="38"/>
      <c r="G20" s="38"/>
      <c r="H20" s="38"/>
      <c r="I20" s="38"/>
      <c r="J20" s="38"/>
      <c r="L20" s="140" t="s">
        <v>19</v>
      </c>
      <c r="M20" s="151" t="s">
        <v>77</v>
      </c>
      <c r="N20" s="152"/>
      <c r="O20" s="38"/>
      <c r="P20" s="38"/>
      <c r="Q20" s="38"/>
      <c r="R20" s="38"/>
      <c r="S20" s="38"/>
      <c r="T20" s="38"/>
    </row>
    <row r="21" spans="2:20" ht="16.5" thickBot="1" x14ac:dyDescent="0.3">
      <c r="B21" s="141"/>
      <c r="C21" s="49">
        <v>21</v>
      </c>
      <c r="D21" s="50">
        <v>24</v>
      </c>
      <c r="E21" s="153" t="s">
        <v>61</v>
      </c>
      <c r="F21" s="154"/>
      <c r="G21" s="38"/>
      <c r="H21" s="38"/>
      <c r="I21" s="38"/>
      <c r="J21" s="38"/>
      <c r="L21" s="141"/>
      <c r="M21" s="49">
        <v>14</v>
      </c>
      <c r="N21" s="50">
        <v>9</v>
      </c>
      <c r="O21" s="153" t="s">
        <v>79</v>
      </c>
      <c r="P21" s="154"/>
      <c r="Q21" s="38"/>
      <c r="R21" s="38"/>
      <c r="S21" s="38"/>
      <c r="T21" s="38"/>
    </row>
    <row r="22" spans="2:20" ht="16.5" thickBot="1" x14ac:dyDescent="0.3">
      <c r="B22" s="141"/>
      <c r="C22" s="45">
        <v>20</v>
      </c>
      <c r="D22" s="46">
        <v>5</v>
      </c>
      <c r="E22" s="47">
        <v>29</v>
      </c>
      <c r="F22" s="48">
        <v>18</v>
      </c>
      <c r="G22" s="155" t="s">
        <v>62</v>
      </c>
      <c r="H22" s="156"/>
      <c r="I22" s="38"/>
      <c r="J22" s="38"/>
      <c r="L22" s="141"/>
      <c r="M22" s="45">
        <v>19</v>
      </c>
      <c r="N22" s="46">
        <v>24</v>
      </c>
      <c r="O22" s="47">
        <v>6</v>
      </c>
      <c r="P22" s="48">
        <v>22</v>
      </c>
      <c r="Q22" s="155" t="s">
        <v>81</v>
      </c>
      <c r="R22" s="156"/>
      <c r="S22" s="38"/>
      <c r="T22" s="38"/>
    </row>
    <row r="23" spans="2:20" ht="16.5" thickBot="1" x14ac:dyDescent="0.3">
      <c r="B23" s="142"/>
      <c r="C23" s="39">
        <v>20</v>
      </c>
      <c r="D23" s="40">
        <v>28</v>
      </c>
      <c r="E23" s="41">
        <v>21</v>
      </c>
      <c r="F23" s="42">
        <v>11</v>
      </c>
      <c r="G23" s="43">
        <v>14</v>
      </c>
      <c r="H23" s="44">
        <v>4</v>
      </c>
      <c r="I23" s="157" t="s">
        <v>63</v>
      </c>
      <c r="J23" s="158"/>
      <c r="L23" s="142"/>
      <c r="M23" s="39">
        <v>2</v>
      </c>
      <c r="N23" s="40">
        <v>2</v>
      </c>
      <c r="O23" s="41">
        <v>9</v>
      </c>
      <c r="P23" s="42">
        <v>28</v>
      </c>
      <c r="Q23" s="43">
        <v>26</v>
      </c>
      <c r="R23" s="44">
        <v>19</v>
      </c>
      <c r="S23" s="157" t="s">
        <v>83</v>
      </c>
      <c r="T23" s="158"/>
    </row>
  </sheetData>
  <mergeCells count="40">
    <mergeCell ref="B2:B5"/>
    <mergeCell ref="C2:D2"/>
    <mergeCell ref="E3:F3"/>
    <mergeCell ref="G4:H4"/>
    <mergeCell ref="I5:J5"/>
    <mergeCell ref="B8:B11"/>
    <mergeCell ref="C8:D8"/>
    <mergeCell ref="E9:F9"/>
    <mergeCell ref="G10:H10"/>
    <mergeCell ref="I11:J11"/>
    <mergeCell ref="B20:B23"/>
    <mergeCell ref="C20:D20"/>
    <mergeCell ref="E21:F21"/>
    <mergeCell ref="G22:H22"/>
    <mergeCell ref="I23:J23"/>
    <mergeCell ref="B14:B17"/>
    <mergeCell ref="C14:D14"/>
    <mergeCell ref="E15:F15"/>
    <mergeCell ref="G16:H16"/>
    <mergeCell ref="I17:J17"/>
    <mergeCell ref="L8:L11"/>
    <mergeCell ref="M8:N8"/>
    <mergeCell ref="O9:P9"/>
    <mergeCell ref="Q10:R10"/>
    <mergeCell ref="S11:T11"/>
    <mergeCell ref="L2:L5"/>
    <mergeCell ref="M2:N2"/>
    <mergeCell ref="O3:P3"/>
    <mergeCell ref="Q4:R4"/>
    <mergeCell ref="S5:T5"/>
    <mergeCell ref="L20:L23"/>
    <mergeCell ref="M20:N20"/>
    <mergeCell ref="O21:P21"/>
    <mergeCell ref="Q22:R22"/>
    <mergeCell ref="S23:T23"/>
    <mergeCell ref="L14:L17"/>
    <mergeCell ref="M14:N14"/>
    <mergeCell ref="O15:P15"/>
    <mergeCell ref="Q16:R16"/>
    <mergeCell ref="S17:T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Q19"/>
  <sheetViews>
    <sheetView zoomScale="170" zoomScaleNormal="170" workbookViewId="0"/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17" ht="23.25" x14ac:dyDescent="0.35">
      <c r="A1" s="26"/>
      <c r="B1" s="167" t="s">
        <v>132</v>
      </c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22"/>
    </row>
    <row r="2" spans="1:17" ht="15.75" x14ac:dyDescent="0.25">
      <c r="A2" s="9"/>
      <c r="B2" s="170" t="s">
        <v>8</v>
      </c>
      <c r="C2" s="170"/>
      <c r="D2" s="10"/>
      <c r="E2" s="170" t="s">
        <v>4</v>
      </c>
      <c r="F2" s="170"/>
      <c r="G2" s="10"/>
      <c r="H2" s="170" t="s">
        <v>5</v>
      </c>
      <c r="I2" s="170"/>
      <c r="J2" s="170"/>
      <c r="K2" s="10"/>
      <c r="L2" s="170" t="s">
        <v>1</v>
      </c>
      <c r="M2" s="170"/>
      <c r="N2" s="10"/>
      <c r="O2" s="170" t="s">
        <v>0</v>
      </c>
      <c r="P2" s="170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 t="s">
        <v>51</v>
      </c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 t="s">
        <v>64</v>
      </c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 t="s">
        <v>81</v>
      </c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 t="s">
        <v>58</v>
      </c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 t="s">
        <v>74</v>
      </c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 t="s">
        <v>61</v>
      </c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 t="s">
        <v>69</v>
      </c>
      <c r="J16" s="18"/>
      <c r="K16" s="15"/>
      <c r="L16" s="21"/>
      <c r="M16" s="12"/>
      <c r="N16" s="12"/>
      <c r="O16" s="168" t="s">
        <v>6</v>
      </c>
      <c r="P16" s="169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 t="s">
        <v>52</v>
      </c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</sheetData>
  <mergeCells count="7">
    <mergeCell ref="B1:P1"/>
    <mergeCell ref="H2:J2"/>
    <mergeCell ref="L2:M2"/>
    <mergeCell ref="O16:P16"/>
    <mergeCell ref="B2:C2"/>
    <mergeCell ref="E2:F2"/>
    <mergeCell ref="O2:P2"/>
  </mergeCells>
  <conditionalFormatting sqref="C10">
    <cfRule type="expression" dxfId="23" priority="2">
      <formula>$B$10&gt;$B$11</formula>
    </cfRule>
  </conditionalFormatting>
  <conditionalFormatting sqref="C11">
    <cfRule type="expression" dxfId="22" priority="1">
      <formula>$B$11&gt;$B$10</formula>
    </cfRule>
  </conditionalFormatting>
  <conditionalFormatting sqref="O10">
    <cfRule type="expression" dxfId="21" priority="4">
      <formula>$P$10&gt;$P$11</formula>
    </cfRule>
  </conditionalFormatting>
  <conditionalFormatting sqref="O11">
    <cfRule type="expression" dxfId="20" priority="3">
      <formula>$P$11&gt;$P$10</formula>
    </cfRule>
  </conditionalFormatting>
  <conditionalFormatting sqref="O17">
    <cfRule type="expression" dxfId="19" priority="6">
      <formula>$P$17&gt;$P$18</formula>
    </cfRule>
  </conditionalFormatting>
  <conditionalFormatting sqref="O18">
    <cfRule type="expression" dxfId="18" priority="5">
      <formula>$P$18&gt;$P$17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Q19"/>
  <sheetViews>
    <sheetView zoomScale="170" zoomScaleNormal="170" workbookViewId="0">
      <selection activeCell="Q16" sqref="Q16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17" ht="23.25" x14ac:dyDescent="0.35">
      <c r="A1" s="26"/>
      <c r="B1" s="167" t="s">
        <v>133</v>
      </c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22"/>
    </row>
    <row r="2" spans="1:17" ht="15.75" x14ac:dyDescent="0.25">
      <c r="A2" s="9"/>
      <c r="B2" s="170" t="s">
        <v>8</v>
      </c>
      <c r="C2" s="170"/>
      <c r="D2" s="10"/>
      <c r="E2" s="170" t="s">
        <v>4</v>
      </c>
      <c r="F2" s="170"/>
      <c r="G2" s="10"/>
      <c r="H2" s="170" t="s">
        <v>5</v>
      </c>
      <c r="I2" s="170"/>
      <c r="J2" s="170"/>
      <c r="K2" s="10"/>
      <c r="L2" s="170" t="s">
        <v>1</v>
      </c>
      <c r="M2" s="170"/>
      <c r="N2" s="10"/>
      <c r="O2" s="170" t="s">
        <v>0</v>
      </c>
      <c r="P2" s="170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 t="s">
        <v>71</v>
      </c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 t="s">
        <v>57</v>
      </c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 t="s">
        <v>83</v>
      </c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 t="s">
        <v>48</v>
      </c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 t="s">
        <v>72</v>
      </c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 t="s">
        <v>55</v>
      </c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 t="s">
        <v>66</v>
      </c>
      <c r="J16" s="18"/>
      <c r="K16" s="15"/>
      <c r="L16" s="21"/>
      <c r="M16" s="12"/>
      <c r="N16" s="12"/>
      <c r="O16" s="168" t="s">
        <v>6</v>
      </c>
      <c r="P16" s="169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 t="s">
        <v>60</v>
      </c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</sheetData>
  <mergeCells count="7">
    <mergeCell ref="B1:P1"/>
    <mergeCell ref="H2:J2"/>
    <mergeCell ref="L2:M2"/>
    <mergeCell ref="O16:P16"/>
    <mergeCell ref="B2:C2"/>
    <mergeCell ref="E2:F2"/>
    <mergeCell ref="O2:P2"/>
  </mergeCells>
  <conditionalFormatting sqref="C10">
    <cfRule type="expression" dxfId="17" priority="2">
      <formula>$B$10&gt;$B$11</formula>
    </cfRule>
  </conditionalFormatting>
  <conditionalFormatting sqref="C11">
    <cfRule type="expression" dxfId="16" priority="1">
      <formula>$B$11&gt;$B$10</formula>
    </cfRule>
  </conditionalFormatting>
  <conditionalFormatting sqref="O10">
    <cfRule type="expression" dxfId="15" priority="4">
      <formula>$P$10&gt;$P$11</formula>
    </cfRule>
  </conditionalFormatting>
  <conditionalFormatting sqref="O11">
    <cfRule type="expression" dxfId="14" priority="3">
      <formula>$P$11&gt;$P$10</formula>
    </cfRule>
  </conditionalFormatting>
  <conditionalFormatting sqref="O17">
    <cfRule type="expression" dxfId="13" priority="6">
      <formula>$P$17&gt;$P$18</formula>
    </cfRule>
  </conditionalFormatting>
  <conditionalFormatting sqref="O18">
    <cfRule type="expression" dxfId="12" priority="5">
      <formula>$P$18&gt;$P$17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Q19"/>
  <sheetViews>
    <sheetView zoomScale="170" zoomScaleNormal="17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17" ht="23.25" x14ac:dyDescent="0.35">
      <c r="A1" s="26"/>
      <c r="B1" s="167" t="s">
        <v>134</v>
      </c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22"/>
    </row>
    <row r="2" spans="1:17" ht="15.75" x14ac:dyDescent="0.25">
      <c r="A2" s="9"/>
      <c r="B2" s="170" t="s">
        <v>8</v>
      </c>
      <c r="C2" s="170"/>
      <c r="D2" s="10"/>
      <c r="E2" s="170" t="s">
        <v>4</v>
      </c>
      <c r="F2" s="170"/>
      <c r="G2" s="10"/>
      <c r="H2" s="170" t="s">
        <v>5</v>
      </c>
      <c r="I2" s="170"/>
      <c r="J2" s="170"/>
      <c r="K2" s="10"/>
      <c r="L2" s="170" t="s">
        <v>1</v>
      </c>
      <c r="M2" s="170"/>
      <c r="N2" s="10"/>
      <c r="O2" s="170" t="s">
        <v>0</v>
      </c>
      <c r="P2" s="170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 t="s">
        <v>56</v>
      </c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 t="s">
        <v>50</v>
      </c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 t="s">
        <v>73</v>
      </c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 t="s">
        <v>54</v>
      </c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 t="s">
        <v>67</v>
      </c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 t="s">
        <v>63</v>
      </c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 t="s">
        <v>77</v>
      </c>
      <c r="J16" s="18"/>
      <c r="K16" s="15"/>
      <c r="L16" s="21"/>
      <c r="M16" s="12"/>
      <c r="N16" s="12"/>
      <c r="O16" s="168" t="s">
        <v>6</v>
      </c>
      <c r="P16" s="169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 t="s">
        <v>70</v>
      </c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</sheetData>
  <mergeCells count="7">
    <mergeCell ref="B1:P1"/>
    <mergeCell ref="H2:J2"/>
    <mergeCell ref="L2:M2"/>
    <mergeCell ref="O16:P16"/>
    <mergeCell ref="B2:C2"/>
    <mergeCell ref="E2:F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6">
      <formula>$P$17&gt;$P$18</formula>
    </cfRule>
  </conditionalFormatting>
  <conditionalFormatting sqref="O18">
    <cfRule type="expression" dxfId="6" priority="5">
      <formula>$P$18&gt;$P$17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:Q19"/>
  <sheetViews>
    <sheetView zoomScale="170" zoomScaleNormal="17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17" ht="23.25" x14ac:dyDescent="0.35">
      <c r="A1" s="26"/>
      <c r="B1" s="167" t="s">
        <v>135</v>
      </c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22"/>
    </row>
    <row r="2" spans="1:17" ht="15.75" x14ac:dyDescent="0.25">
      <c r="A2" s="9"/>
      <c r="B2" s="170" t="s">
        <v>8</v>
      </c>
      <c r="C2" s="170"/>
      <c r="D2" s="10"/>
      <c r="E2" s="170" t="s">
        <v>4</v>
      </c>
      <c r="F2" s="170"/>
      <c r="G2" s="10"/>
      <c r="H2" s="170" t="s">
        <v>5</v>
      </c>
      <c r="I2" s="170"/>
      <c r="J2" s="170"/>
      <c r="K2" s="10"/>
      <c r="L2" s="170" t="s">
        <v>1</v>
      </c>
      <c r="M2" s="170"/>
      <c r="N2" s="10"/>
      <c r="O2" s="170" t="s">
        <v>0</v>
      </c>
      <c r="P2" s="170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 t="s">
        <v>65</v>
      </c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 t="s">
        <v>68</v>
      </c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 t="s">
        <v>59</v>
      </c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 t="s">
        <v>53</v>
      </c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 t="s">
        <v>49</v>
      </c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 t="s">
        <v>75</v>
      </c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 t="s">
        <v>62</v>
      </c>
      <c r="J16" s="18"/>
      <c r="K16" s="15"/>
      <c r="L16" s="21"/>
      <c r="M16" s="12"/>
      <c r="N16" s="12"/>
      <c r="O16" s="168" t="s">
        <v>6</v>
      </c>
      <c r="P16" s="169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 t="s">
        <v>79</v>
      </c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</sheetData>
  <mergeCells count="7">
    <mergeCell ref="O16:P16"/>
    <mergeCell ref="B1:P1"/>
    <mergeCell ref="B2:C2"/>
    <mergeCell ref="E2:F2"/>
    <mergeCell ref="H2:J2"/>
    <mergeCell ref="L2:M2"/>
    <mergeCell ref="O2:P2"/>
  </mergeCells>
  <conditionalFormatting sqref="C10">
    <cfRule type="expression" dxfId="5" priority="2">
      <formula>$B$10&gt;$B$11</formula>
    </cfRule>
  </conditionalFormatting>
  <conditionalFormatting sqref="C11">
    <cfRule type="expression" dxfId="4" priority="1">
      <formula>$B$11&gt;$B$10</formula>
    </cfRule>
  </conditionalFormatting>
  <conditionalFormatting sqref="O10">
    <cfRule type="expression" dxfId="3" priority="4">
      <formula>$P$10&gt;$P$11</formula>
    </cfRule>
  </conditionalFormatting>
  <conditionalFormatting sqref="O11">
    <cfRule type="expression" dxfId="2" priority="3">
      <formula>$P$11&gt;$P$10</formula>
    </cfRule>
  </conditionalFormatting>
  <conditionalFormatting sqref="O17">
    <cfRule type="expression" dxfId="1" priority="6">
      <formula>$P$17&gt;$P$18</formula>
    </cfRule>
  </conditionalFormatting>
  <conditionalFormatting sqref="O18">
    <cfRule type="expression" dxfId="0" priority="5">
      <formula>$P$18&gt;$P$17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25" workbookViewId="0">
      <selection activeCell="O47" sqref="O47"/>
    </sheetView>
  </sheetViews>
  <sheetFormatPr defaultRowHeight="15" x14ac:dyDescent="0.25"/>
  <cols>
    <col min="3" max="4" width="9.140625" customWidth="1"/>
  </cols>
  <sheetData>
    <row r="1" spans="1:20" x14ac:dyDescent="0.25">
      <c r="A1" s="62" t="s">
        <v>12</v>
      </c>
      <c r="B1" s="63" t="s">
        <v>84</v>
      </c>
      <c r="C1" s="63" t="s">
        <v>85</v>
      </c>
      <c r="D1" s="63" t="s">
        <v>87</v>
      </c>
      <c r="E1" s="64" t="s">
        <v>86</v>
      </c>
      <c r="F1" s="62" t="s">
        <v>13</v>
      </c>
      <c r="G1" s="63" t="s">
        <v>84</v>
      </c>
      <c r="H1" s="63" t="s">
        <v>85</v>
      </c>
      <c r="I1" s="63" t="s">
        <v>87</v>
      </c>
      <c r="J1" s="64" t="s">
        <v>86</v>
      </c>
      <c r="K1" s="62" t="s">
        <v>14</v>
      </c>
      <c r="L1" s="63" t="s">
        <v>84</v>
      </c>
      <c r="M1" s="63" t="s">
        <v>85</v>
      </c>
      <c r="N1" s="63" t="s">
        <v>87</v>
      </c>
      <c r="O1" s="64" t="s">
        <v>86</v>
      </c>
      <c r="P1" s="62" t="s">
        <v>15</v>
      </c>
      <c r="Q1" s="63" t="s">
        <v>84</v>
      </c>
      <c r="R1" s="63" t="s">
        <v>85</v>
      </c>
      <c r="S1" s="63" t="s">
        <v>87</v>
      </c>
      <c r="T1" s="64" t="s">
        <v>86</v>
      </c>
    </row>
    <row r="2" spans="1:20" x14ac:dyDescent="0.25">
      <c r="A2" s="65" t="str" cm="1">
        <f t="array" ref="A2:A5">Pools!$B$2:$B$5</f>
        <v>team 1</v>
      </c>
      <c r="B2" s="75">
        <f>B7+B8+B9</f>
        <v>52</v>
      </c>
      <c r="C2" s="75">
        <f>B7+B8+B9+C7+C8+C9</f>
        <v>94</v>
      </c>
      <c r="D2" s="76">
        <f>IFERROR(B2/C2,"")</f>
        <v>0.55319148936170215</v>
      </c>
      <c r="E2" s="77">
        <f>IF(LEN(D2)=0,"",COUNTIF($E$7:$E$12,A2))</f>
        <v>2</v>
      </c>
      <c r="F2" s="65" t="str" cm="1">
        <f t="array" ref="F2:F5">Pools!$D$2:$D$5</f>
        <v>team 5</v>
      </c>
      <c r="G2" s="75">
        <f>G7+G8+G9</f>
        <v>59</v>
      </c>
      <c r="H2" s="75">
        <f>G7+G8+G9+H7+H8+H9</f>
        <v>99</v>
      </c>
      <c r="I2" s="76">
        <f>IFERROR(G2/H2,"")</f>
        <v>0.59595959595959591</v>
      </c>
      <c r="J2" s="77">
        <f>IF(LEN(I2)=0,"",COUNTIF($J$7:$J$12,F2))</f>
        <v>3</v>
      </c>
      <c r="K2" s="65" t="str" cm="1">
        <f t="array" ref="K2:K5">Pools!$F$2:$F$5</f>
        <v>team 9</v>
      </c>
      <c r="L2" s="75">
        <f>L7+L8+L9</f>
        <v>49</v>
      </c>
      <c r="M2" s="75">
        <f>L7+L8+L9+M7+M8+M9</f>
        <v>98</v>
      </c>
      <c r="N2" s="76">
        <f>IFERROR(L2/M2,"")</f>
        <v>0.5</v>
      </c>
      <c r="O2" s="77">
        <f>IF(LEN(N2)=0,"",COUNTIF($O$7:$O$12,K2))</f>
        <v>1</v>
      </c>
      <c r="P2" s="65" t="str" cm="1">
        <f t="array" ref="P2:P5">Pools!$H$2:$H$5</f>
        <v>team 13</v>
      </c>
      <c r="Q2" s="75">
        <f>Q7+Q8+Q9</f>
        <v>61</v>
      </c>
      <c r="R2" s="75">
        <f>Q7+Q8+Q9+R7+R8+R9</f>
        <v>118</v>
      </c>
      <c r="S2" s="76">
        <f>IFERROR(Q2/R2,"")</f>
        <v>0.51694915254237284</v>
      </c>
      <c r="T2" s="77">
        <f>IF(LEN(S2)=0,"",COUNTIF($T$7:$T$12,P2))</f>
        <v>1</v>
      </c>
    </row>
    <row r="3" spans="1:20" x14ac:dyDescent="0.25">
      <c r="A3" s="66" t="str">
        <v>team 2</v>
      </c>
      <c r="B3" s="75">
        <f>B10+B11+C7</f>
        <v>39</v>
      </c>
      <c r="C3" s="75">
        <f>B7+C7+B10+C10+B11+C11</f>
        <v>95</v>
      </c>
      <c r="D3" s="76">
        <f t="shared" ref="D3:D5" si="0">IFERROR(B3/C3,"")</f>
        <v>0.41052631578947368</v>
      </c>
      <c r="E3" s="78">
        <f t="shared" ref="E3:E5" si="1">IF(LEN(D3)=0,"",COUNTIF($E$7:$E$12,A3))</f>
        <v>1</v>
      </c>
      <c r="F3" s="66" t="str">
        <v>team 6</v>
      </c>
      <c r="G3" s="75">
        <f>G10+G11+H7</f>
        <v>37</v>
      </c>
      <c r="H3" s="75">
        <f>G7+H7+G10+H10+G11+H11</f>
        <v>92</v>
      </c>
      <c r="I3" s="76">
        <f t="shared" ref="I3:I5" si="2">IFERROR(G3/H3,"")</f>
        <v>0.40217391304347827</v>
      </c>
      <c r="J3" s="78">
        <f t="shared" ref="J3:J5" si="3">IF(LEN(I3)=0,"",COUNTIF($J$7:$J$12,F3))</f>
        <v>0</v>
      </c>
      <c r="K3" s="66" t="str">
        <v>team 10</v>
      </c>
      <c r="L3" s="75">
        <f>L10+L11+M7</f>
        <v>49</v>
      </c>
      <c r="M3" s="75">
        <f>L7+M7+L10+M10+L11+M11</f>
        <v>105</v>
      </c>
      <c r="N3" s="76">
        <f t="shared" ref="N3:N5" si="4">IFERROR(L3/M3,"")</f>
        <v>0.46666666666666667</v>
      </c>
      <c r="O3" s="78">
        <f t="shared" ref="O3:O5" si="5">IF(LEN(N3)=0,"",COUNTIF($O$7:$O$12,K3))</f>
        <v>2</v>
      </c>
      <c r="P3" s="66" t="str">
        <v>team 14</v>
      </c>
      <c r="Q3" s="75">
        <f>Q10+Q11+R7</f>
        <v>74</v>
      </c>
      <c r="R3" s="75">
        <f>Q7+R7+Q10+R10+Q11+R11</f>
        <v>124</v>
      </c>
      <c r="S3" s="76">
        <f t="shared" ref="S3:S5" si="6">IFERROR(Q3/R3,"")</f>
        <v>0.59677419354838712</v>
      </c>
      <c r="T3" s="78">
        <f t="shared" ref="T3:T5" si="7">IF(LEN(S3)=0,"",COUNTIF($T$7:$T$12,P3))</f>
        <v>3</v>
      </c>
    </row>
    <row r="4" spans="1:20" x14ac:dyDescent="0.25">
      <c r="A4" s="66" t="str">
        <v>team 3</v>
      </c>
      <c r="B4" s="75">
        <f>B12+C8+C10</f>
        <v>44</v>
      </c>
      <c r="C4" s="75">
        <f>B8+C8+B10+C10+B12+C12</f>
        <v>118</v>
      </c>
      <c r="D4" s="76">
        <f t="shared" si="0"/>
        <v>0.3728813559322034</v>
      </c>
      <c r="E4" s="78">
        <f t="shared" si="1"/>
        <v>1</v>
      </c>
      <c r="F4" s="66" t="str">
        <v>team 7</v>
      </c>
      <c r="G4" s="75">
        <f>G12+H8+H10</f>
        <v>47</v>
      </c>
      <c r="H4" s="75">
        <f>G8+H8+G10+H10+G12+H12</f>
        <v>106</v>
      </c>
      <c r="I4" s="76">
        <f t="shared" si="2"/>
        <v>0.44339622641509435</v>
      </c>
      <c r="J4" s="78">
        <f t="shared" si="3"/>
        <v>1</v>
      </c>
      <c r="K4" s="66" t="str">
        <v>team 11</v>
      </c>
      <c r="L4" s="75">
        <f>L12+M8+M10</f>
        <v>64</v>
      </c>
      <c r="M4" s="75">
        <f>L8+M8+L10+M10+L12+M12</f>
        <v>104</v>
      </c>
      <c r="N4" s="76">
        <f t="shared" si="4"/>
        <v>0.61538461538461542</v>
      </c>
      <c r="O4" s="78">
        <f t="shared" si="5"/>
        <v>2</v>
      </c>
      <c r="P4" s="66" t="str">
        <v>team 15</v>
      </c>
      <c r="Q4" s="75">
        <f>Q12+R8+R10</f>
        <v>37</v>
      </c>
      <c r="R4" s="75">
        <f>Q8+R8+Q10+R10+Q12+R12</f>
        <v>90</v>
      </c>
      <c r="S4" s="76">
        <f t="shared" si="6"/>
        <v>0.41111111111111109</v>
      </c>
      <c r="T4" s="78">
        <f t="shared" si="7"/>
        <v>1</v>
      </c>
    </row>
    <row r="5" spans="1:20" x14ac:dyDescent="0.25">
      <c r="A5" s="67" t="str">
        <v>team 4</v>
      </c>
      <c r="B5" s="75">
        <f>C9+C11+C12</f>
        <v>61</v>
      </c>
      <c r="C5" s="75">
        <f>B9+C9+B11+C11+B12+C12</f>
        <v>85</v>
      </c>
      <c r="D5" s="76">
        <f t="shared" si="0"/>
        <v>0.71764705882352942</v>
      </c>
      <c r="E5" s="79">
        <f t="shared" si="1"/>
        <v>2</v>
      </c>
      <c r="F5" s="67" t="str">
        <v>team 8</v>
      </c>
      <c r="G5" s="75">
        <f>H9+H11+H12</f>
        <v>75</v>
      </c>
      <c r="H5" s="75">
        <f>G9+H9+G11+H11+G12+H12</f>
        <v>139</v>
      </c>
      <c r="I5" s="76">
        <f t="shared" si="2"/>
        <v>0.53956834532374098</v>
      </c>
      <c r="J5" s="79">
        <f t="shared" si="3"/>
        <v>2</v>
      </c>
      <c r="K5" s="67" t="str">
        <v>team 12</v>
      </c>
      <c r="L5" s="75">
        <f>M9+M11+M12</f>
        <v>37</v>
      </c>
      <c r="M5" s="75">
        <f>L9+M9+L11+M11+L12+M12</f>
        <v>91</v>
      </c>
      <c r="N5" s="76">
        <f t="shared" si="4"/>
        <v>0.40659340659340659</v>
      </c>
      <c r="O5" s="79">
        <f t="shared" si="5"/>
        <v>1</v>
      </c>
      <c r="P5" s="67" t="str">
        <v>team 16</v>
      </c>
      <c r="Q5" s="75">
        <f>R9+R11+R12</f>
        <v>43</v>
      </c>
      <c r="R5" s="75">
        <f>Q9+R9+Q11+R11+Q12+R12</f>
        <v>98</v>
      </c>
      <c r="S5" s="76">
        <f t="shared" si="6"/>
        <v>0.43877551020408162</v>
      </c>
      <c r="T5" s="79">
        <f t="shared" si="7"/>
        <v>1</v>
      </c>
    </row>
    <row r="6" spans="1:20" x14ac:dyDescent="0.25">
      <c r="A6" s="68"/>
      <c r="B6" s="59"/>
      <c r="C6" s="59"/>
      <c r="D6" s="59"/>
      <c r="E6" s="69" t="s">
        <v>89</v>
      </c>
      <c r="F6" s="68"/>
      <c r="G6" s="59"/>
      <c r="H6" s="59"/>
      <c r="I6" s="59"/>
      <c r="J6" s="69" t="s">
        <v>89</v>
      </c>
      <c r="K6" s="68"/>
      <c r="L6" s="59"/>
      <c r="M6" s="59"/>
      <c r="N6" s="59"/>
      <c r="O6" s="69" t="s">
        <v>89</v>
      </c>
      <c r="P6" s="68"/>
      <c r="Q6" s="59"/>
      <c r="R6" s="59"/>
      <c r="S6" s="59"/>
      <c r="T6" s="69" t="s">
        <v>89</v>
      </c>
    </row>
    <row r="7" spans="1:20" x14ac:dyDescent="0.25">
      <c r="A7" s="70" t="str">
        <f>A2</f>
        <v>team 1</v>
      </c>
      <c r="B7" s="75">
        <f>'Pool Scores'!C3</f>
        <v>26</v>
      </c>
      <c r="C7" s="84">
        <f>'Pool Scores'!D3</f>
        <v>6</v>
      </c>
      <c r="D7" t="str">
        <f>A3</f>
        <v>team 2</v>
      </c>
      <c r="E7" s="80" t="str">
        <f>IF(OR(LEN(B7)=0,LEN(C7)=0),"",IF(B7&gt;C7,A7,D7))</f>
        <v>team 1</v>
      </c>
      <c r="F7" s="70" t="str">
        <f>F2</f>
        <v>team 5</v>
      </c>
      <c r="G7" s="75">
        <f>'Pool Scores'!C9</f>
        <v>9</v>
      </c>
      <c r="H7" s="84">
        <f>'Pool Scores'!D9</f>
        <v>4</v>
      </c>
      <c r="I7" t="str">
        <f>F3</f>
        <v>team 6</v>
      </c>
      <c r="J7" s="80" t="str">
        <f>IF(OR(LEN(G7)=0,LEN(H7)=0),"",IF(G7&gt;H7,F7,I7))</f>
        <v>team 5</v>
      </c>
      <c r="K7" s="70" t="str">
        <f>K2</f>
        <v>team 9</v>
      </c>
      <c r="L7" s="75">
        <f>'Pool Scores'!C15</f>
        <v>20</v>
      </c>
      <c r="M7" s="84">
        <f>'Pool Scores'!D15</f>
        <v>26</v>
      </c>
      <c r="N7" t="str">
        <f>K3</f>
        <v>team 10</v>
      </c>
      <c r="O7" s="80" t="str">
        <f>IF(OR(LEN(L7)=0,LEN(M7)=0),"",IF(L7&gt;M7,K7,N7))</f>
        <v>team 10</v>
      </c>
      <c r="P7" s="70" t="str">
        <f>P2</f>
        <v>team 13</v>
      </c>
      <c r="Q7" s="75">
        <f>'Pool Scores'!C21</f>
        <v>21</v>
      </c>
      <c r="R7" s="84">
        <f>'Pool Scores'!D21</f>
        <v>24</v>
      </c>
      <c r="S7" t="str">
        <f>P3</f>
        <v>team 14</v>
      </c>
      <c r="T7" s="80" t="str">
        <f>IF(OR(LEN(Q7)=0,LEN(R7)=0),"",IF(Q7&gt;R7,P7,S7))</f>
        <v>team 14</v>
      </c>
    </row>
    <row r="8" spans="1:20" x14ac:dyDescent="0.25">
      <c r="A8" s="70" t="str">
        <f>A2</f>
        <v>team 1</v>
      </c>
      <c r="B8" s="75">
        <f>'Pool Scores'!C4</f>
        <v>24</v>
      </c>
      <c r="C8" s="84">
        <f>'Pool Scores'!D4</f>
        <v>9</v>
      </c>
      <c r="D8" t="str">
        <f t="shared" ref="D8:D9" si="8">A4</f>
        <v>team 3</v>
      </c>
      <c r="E8" s="81" t="str">
        <f t="shared" ref="E8:E12" si="9">IF(OR(LEN(B8)=0,LEN(C8)=0),"",IF(B8&gt;C8,A8,D8))</f>
        <v>team 1</v>
      </c>
      <c r="F8" s="70" t="str">
        <f>F2</f>
        <v>team 5</v>
      </c>
      <c r="G8" s="75">
        <f>'Pool Scores'!C10</f>
        <v>20</v>
      </c>
      <c r="H8" s="84">
        <f>'Pool Scores'!D10</f>
        <v>17</v>
      </c>
      <c r="I8" t="str">
        <f t="shared" ref="I8:I9" si="10">F4</f>
        <v>team 7</v>
      </c>
      <c r="J8" s="81" t="str">
        <f t="shared" ref="J8:J12" si="11">IF(OR(LEN(G8)=0,LEN(H8)=0),"",IF(G8&gt;H8,F8,I8))</f>
        <v>team 5</v>
      </c>
      <c r="K8" s="70" t="str">
        <f>K2</f>
        <v>team 9</v>
      </c>
      <c r="L8" s="75">
        <f>'Pool Scores'!C16</f>
        <v>12</v>
      </c>
      <c r="M8" s="84">
        <f>'Pool Scores'!D16</f>
        <v>21</v>
      </c>
      <c r="N8" t="str">
        <f t="shared" ref="N8:N9" si="12">K4</f>
        <v>team 11</v>
      </c>
      <c r="O8" s="81" t="str">
        <f t="shared" ref="O8:O12" si="13">IF(OR(LEN(L8)=0,LEN(M8)=0),"",IF(L8&gt;M8,K8,N8))</f>
        <v>team 11</v>
      </c>
      <c r="P8" s="70" t="str">
        <f>P2</f>
        <v>team 13</v>
      </c>
      <c r="Q8" s="75">
        <f>'Pool Scores'!C22</f>
        <v>20</v>
      </c>
      <c r="R8" s="84">
        <f>'Pool Scores'!D22</f>
        <v>5</v>
      </c>
      <c r="S8" t="str">
        <f t="shared" ref="S8:S9" si="14">P4</f>
        <v>team 15</v>
      </c>
      <c r="T8" s="81" t="str">
        <f t="shared" ref="T8:T12" si="15">IF(OR(LEN(Q8)=0,LEN(R8)=0),"",IF(Q8&gt;R8,P8,S8))</f>
        <v>team 13</v>
      </c>
    </row>
    <row r="9" spans="1:20" x14ac:dyDescent="0.25">
      <c r="A9" s="70" t="str">
        <f>A2</f>
        <v>team 1</v>
      </c>
      <c r="B9" s="75">
        <f>'Pool Scores'!C5</f>
        <v>2</v>
      </c>
      <c r="C9" s="84">
        <f>'Pool Scores'!D5</f>
        <v>27</v>
      </c>
      <c r="D9" t="str">
        <f t="shared" si="8"/>
        <v>team 4</v>
      </c>
      <c r="E9" s="81" t="str">
        <f t="shared" si="9"/>
        <v>team 4</v>
      </c>
      <c r="F9" s="70" t="str">
        <f>F2</f>
        <v>team 5</v>
      </c>
      <c r="G9" s="75">
        <f>'Pool Scores'!C11</f>
        <v>30</v>
      </c>
      <c r="H9" s="84">
        <f>'Pool Scores'!D11</f>
        <v>19</v>
      </c>
      <c r="I9" t="str">
        <f t="shared" si="10"/>
        <v>team 8</v>
      </c>
      <c r="J9" s="81" t="str">
        <f t="shared" si="11"/>
        <v>team 5</v>
      </c>
      <c r="K9" s="70" t="str">
        <f>K2</f>
        <v>team 9</v>
      </c>
      <c r="L9" s="75">
        <f>'Pool Scores'!C17</f>
        <v>17</v>
      </c>
      <c r="M9" s="84">
        <f>'Pool Scores'!D17</f>
        <v>2</v>
      </c>
      <c r="N9" t="str">
        <f t="shared" si="12"/>
        <v>team 12</v>
      </c>
      <c r="O9" s="81" t="str">
        <f t="shared" si="13"/>
        <v>team 9</v>
      </c>
      <c r="P9" s="70" t="str">
        <f>P2</f>
        <v>team 13</v>
      </c>
      <c r="Q9" s="75">
        <f>'Pool Scores'!C23</f>
        <v>20</v>
      </c>
      <c r="R9" s="84">
        <f>'Pool Scores'!D23</f>
        <v>28</v>
      </c>
      <c r="S9" t="str">
        <f t="shared" si="14"/>
        <v>team 16</v>
      </c>
      <c r="T9" s="81" t="str">
        <f t="shared" si="15"/>
        <v>team 16</v>
      </c>
    </row>
    <row r="10" spans="1:20" x14ac:dyDescent="0.25">
      <c r="A10" s="70" t="str">
        <f>A3</f>
        <v>team 2</v>
      </c>
      <c r="B10" s="75">
        <f>'Pool Scores'!E4</f>
        <v>20</v>
      </c>
      <c r="C10" s="84">
        <f>'Pool Scores'!F4</f>
        <v>26</v>
      </c>
      <c r="D10" t="str">
        <f>A4</f>
        <v>team 3</v>
      </c>
      <c r="E10" s="81" t="str">
        <f t="shared" si="9"/>
        <v>team 3</v>
      </c>
      <c r="F10" s="70" t="str">
        <f>F3</f>
        <v>team 6</v>
      </c>
      <c r="G10" s="75">
        <f>'Pool Scores'!E10</f>
        <v>10</v>
      </c>
      <c r="H10" s="84">
        <f>'Pool Scores'!F10</f>
        <v>19</v>
      </c>
      <c r="I10" t="str">
        <f>F4</f>
        <v>team 7</v>
      </c>
      <c r="J10" s="81" t="str">
        <f t="shared" si="11"/>
        <v>team 7</v>
      </c>
      <c r="K10" s="70" t="str">
        <f>K3</f>
        <v>team 10</v>
      </c>
      <c r="L10" s="75">
        <f>'Pool Scores'!E16</f>
        <v>5</v>
      </c>
      <c r="M10" s="84">
        <f>'Pool Scores'!F16</f>
        <v>24</v>
      </c>
      <c r="N10" t="str">
        <f>K4</f>
        <v>team 11</v>
      </c>
      <c r="O10" s="81" t="str">
        <f t="shared" si="13"/>
        <v>team 11</v>
      </c>
      <c r="P10" s="70" t="str">
        <f>P3</f>
        <v>team 14</v>
      </c>
      <c r="Q10" s="75">
        <f>'Pool Scores'!E22</f>
        <v>29</v>
      </c>
      <c r="R10" s="84">
        <f>'Pool Scores'!F22</f>
        <v>18</v>
      </c>
      <c r="S10" t="str">
        <f>P4</f>
        <v>team 15</v>
      </c>
      <c r="T10" s="81" t="str">
        <f t="shared" si="15"/>
        <v>team 14</v>
      </c>
    </row>
    <row r="11" spans="1:20" x14ac:dyDescent="0.25">
      <c r="A11" s="70" t="str">
        <f>A3</f>
        <v>team 2</v>
      </c>
      <c r="B11" s="75">
        <f>'Pool Scores'!E5</f>
        <v>13</v>
      </c>
      <c r="C11" s="84">
        <f>'Pool Scores'!F5</f>
        <v>4</v>
      </c>
      <c r="D11" t="str">
        <f>A5</f>
        <v>team 4</v>
      </c>
      <c r="E11" s="81" t="str">
        <f t="shared" si="9"/>
        <v>team 2</v>
      </c>
      <c r="F11" s="70" t="str">
        <f>F3</f>
        <v>team 6</v>
      </c>
      <c r="G11" s="75">
        <f>'Pool Scores'!E11</f>
        <v>23</v>
      </c>
      <c r="H11" s="84">
        <f>'Pool Scores'!F11</f>
        <v>27</v>
      </c>
      <c r="I11" t="str">
        <f>F5</f>
        <v>team 8</v>
      </c>
      <c r="J11" s="81" t="str">
        <f t="shared" si="11"/>
        <v>team 8</v>
      </c>
      <c r="K11" s="70" t="str">
        <f>K3</f>
        <v>team 10</v>
      </c>
      <c r="L11" s="75">
        <f>'Pool Scores'!E17</f>
        <v>18</v>
      </c>
      <c r="M11" s="84">
        <f>'Pool Scores'!F17</f>
        <v>12</v>
      </c>
      <c r="N11" t="str">
        <f>K5</f>
        <v>team 12</v>
      </c>
      <c r="O11" s="81" t="str">
        <f t="shared" si="13"/>
        <v>team 10</v>
      </c>
      <c r="P11" s="70" t="str">
        <f>P3</f>
        <v>team 14</v>
      </c>
      <c r="Q11" s="75">
        <f>'Pool Scores'!E23</f>
        <v>21</v>
      </c>
      <c r="R11" s="84">
        <f>'Pool Scores'!F23</f>
        <v>11</v>
      </c>
      <c r="S11" t="str">
        <f>P5</f>
        <v>team 16</v>
      </c>
      <c r="T11" s="81" t="str">
        <f t="shared" si="15"/>
        <v>team 14</v>
      </c>
    </row>
    <row r="12" spans="1:20" x14ac:dyDescent="0.25">
      <c r="A12" s="70" t="str">
        <f>A4</f>
        <v>team 3</v>
      </c>
      <c r="B12" s="75">
        <f>'Pool Scores'!G5</f>
        <v>9</v>
      </c>
      <c r="C12" s="84">
        <f>'Pool Scores'!H5</f>
        <v>30</v>
      </c>
      <c r="D12" t="str">
        <f>A5</f>
        <v>team 4</v>
      </c>
      <c r="E12" s="82" t="str">
        <f t="shared" si="9"/>
        <v>team 4</v>
      </c>
      <c r="F12" s="70" t="str">
        <f>F4</f>
        <v>team 7</v>
      </c>
      <c r="G12" s="75">
        <f>'Pool Scores'!G11</f>
        <v>11</v>
      </c>
      <c r="H12" s="84">
        <f>'Pool Scores'!H11</f>
        <v>29</v>
      </c>
      <c r="I12" t="str">
        <f>F5</f>
        <v>team 8</v>
      </c>
      <c r="J12" s="82" t="str">
        <f t="shared" si="11"/>
        <v>team 8</v>
      </c>
      <c r="K12" s="70" t="str">
        <f>K4</f>
        <v>team 11</v>
      </c>
      <c r="L12" s="75">
        <f>'Pool Scores'!G17</f>
        <v>19</v>
      </c>
      <c r="M12" s="84">
        <f>'Pool Scores'!H17</f>
        <v>23</v>
      </c>
      <c r="N12" t="str">
        <f>K5</f>
        <v>team 12</v>
      </c>
      <c r="O12" s="82" t="str">
        <f t="shared" si="13"/>
        <v>team 12</v>
      </c>
      <c r="P12" s="70" t="str">
        <f>P4</f>
        <v>team 15</v>
      </c>
      <c r="Q12" s="75">
        <f>'Pool Scores'!G23</f>
        <v>14</v>
      </c>
      <c r="R12" s="84">
        <f>'Pool Scores'!H23</f>
        <v>4</v>
      </c>
      <c r="S12" t="str">
        <f>P5</f>
        <v>team 16</v>
      </c>
      <c r="T12" s="82" t="str">
        <f t="shared" si="15"/>
        <v>team 15</v>
      </c>
    </row>
    <row r="13" spans="1:20" x14ac:dyDescent="0.25">
      <c r="A13" s="68" t="s">
        <v>88</v>
      </c>
      <c r="B13" s="59" t="s">
        <v>90</v>
      </c>
      <c r="C13" s="59" t="s">
        <v>103</v>
      </c>
      <c r="D13" s="59"/>
      <c r="E13" s="69"/>
      <c r="F13" s="68" t="s">
        <v>88</v>
      </c>
      <c r="G13" s="59" t="s">
        <v>90</v>
      </c>
      <c r="H13" s="59" t="s">
        <v>103</v>
      </c>
      <c r="I13" s="59"/>
      <c r="J13" s="69"/>
      <c r="K13" s="68" t="s">
        <v>88</v>
      </c>
      <c r="L13" s="59" t="s">
        <v>90</v>
      </c>
      <c r="M13" s="59" t="s">
        <v>103</v>
      </c>
      <c r="N13" s="59"/>
      <c r="O13" s="69"/>
      <c r="P13" s="68" t="s">
        <v>88</v>
      </c>
      <c r="Q13" s="59" t="s">
        <v>90</v>
      </c>
      <c r="R13" s="59" t="s">
        <v>103</v>
      </c>
      <c r="S13" s="59"/>
      <c r="T13" s="69"/>
    </row>
    <row r="14" spans="1:20" x14ac:dyDescent="0.25">
      <c r="A14" s="70" t="str" cm="1">
        <f t="array" ref="A14:A17">_xlfn.SORTBY(A2:A5,E2:E5,-1,B2:B5,-1,D2:D5,-1)</f>
        <v>team 4</v>
      </c>
      <c r="B14" s="85" cm="1">
        <f t="array" ref="B14">_xlfn.XLOOKUP(A14,_xlfn.ANCHORARRAY(A2),D2:D5,"")</f>
        <v>0.71764705882352942</v>
      </c>
      <c r="C14">
        <f>4+B14</f>
        <v>4.7176470588235295</v>
      </c>
      <c r="E14" s="71"/>
      <c r="F14" s="70" t="str" cm="1">
        <f t="array" ref="F14:F17">_xlfn.SORTBY(F2:F5,J2:J5,-1,G2:G5,-1,I2:I5,-1)</f>
        <v>team 5</v>
      </c>
      <c r="G14" s="85" cm="1">
        <f t="array" ref="G14">_xlfn.XLOOKUP(F14,_xlfn.ANCHORARRAY(F2),I2:I5,"")</f>
        <v>0.59595959595959591</v>
      </c>
      <c r="H14">
        <f>4+G14</f>
        <v>4.595959595959596</v>
      </c>
      <c r="J14" s="71"/>
      <c r="K14" s="70" t="str" cm="1">
        <f t="array" ref="K14:K17">_xlfn.SORTBY(K2:K5,O2:O5,-1,L2:L5,-1,N2:N5,-1)</f>
        <v>team 11</v>
      </c>
      <c r="L14" s="85" cm="1">
        <f t="array" ref="L14">_xlfn.XLOOKUP(K14,_xlfn.ANCHORARRAY(K2),N2:N5,"")</f>
        <v>0.61538461538461542</v>
      </c>
      <c r="M14">
        <f>4+L14</f>
        <v>4.615384615384615</v>
      </c>
      <c r="O14" s="71"/>
      <c r="P14" s="70" t="str" cm="1">
        <f t="array" ref="P14:P17">_xlfn.SORTBY(P2:P5,T2:T5,-1,Q2:Q5,-1,S2:S5,-1)</f>
        <v>team 14</v>
      </c>
      <c r="Q14" s="85" cm="1">
        <f t="array" ref="Q14">_xlfn.XLOOKUP(P14,_xlfn.ANCHORARRAY(P2),S2:S5,"")</f>
        <v>0.59677419354838712</v>
      </c>
      <c r="R14">
        <f>4+Q14</f>
        <v>4.596774193548387</v>
      </c>
      <c r="T14" s="71"/>
    </row>
    <row r="15" spans="1:20" x14ac:dyDescent="0.25">
      <c r="A15" s="70" t="str">
        <v>team 1</v>
      </c>
      <c r="B15" s="85" cm="1">
        <f t="array" ref="B15">_xlfn.XLOOKUP(A15,_xlfn.ANCHORARRAY(A2),D2:D5,"")</f>
        <v>0.55319148936170215</v>
      </c>
      <c r="C15">
        <f>3+B15</f>
        <v>3.5531914893617023</v>
      </c>
      <c r="E15" s="71"/>
      <c r="F15" s="70" t="str">
        <v>team 8</v>
      </c>
      <c r="G15" s="85" cm="1">
        <f t="array" ref="G15">_xlfn.XLOOKUP(F15,_xlfn.ANCHORARRAY(F2),I2:I5,"")</f>
        <v>0.53956834532374098</v>
      </c>
      <c r="H15">
        <f>3+G15</f>
        <v>3.5395683453237412</v>
      </c>
      <c r="J15" s="71"/>
      <c r="K15" s="70" t="str">
        <v>team 10</v>
      </c>
      <c r="L15" s="85" cm="1">
        <f t="array" ref="L15">_xlfn.XLOOKUP(K15,_xlfn.ANCHORARRAY(K2),N2:N5,"")</f>
        <v>0.46666666666666667</v>
      </c>
      <c r="M15">
        <f>3+L15</f>
        <v>3.4666666666666668</v>
      </c>
      <c r="O15" s="71"/>
      <c r="P15" s="70" t="str">
        <v>team 13</v>
      </c>
      <c r="Q15" s="85" cm="1">
        <f t="array" ref="Q15">_xlfn.XLOOKUP(P15,_xlfn.ANCHORARRAY(P2),S2:S5,"")</f>
        <v>0.51694915254237284</v>
      </c>
      <c r="R15">
        <f>3+Q15</f>
        <v>3.5169491525423728</v>
      </c>
      <c r="T15" s="71"/>
    </row>
    <row r="16" spans="1:20" x14ac:dyDescent="0.25">
      <c r="A16" s="70" t="str">
        <v>team 3</v>
      </c>
      <c r="B16" s="85" cm="1">
        <f t="array" ref="B16">_xlfn.XLOOKUP(A16,_xlfn.ANCHORARRAY(A2),D2:D5,"")</f>
        <v>0.3728813559322034</v>
      </c>
      <c r="C16">
        <f>2+B16</f>
        <v>2.3728813559322033</v>
      </c>
      <c r="E16" s="71"/>
      <c r="F16" s="70" t="str">
        <v>team 7</v>
      </c>
      <c r="G16" s="85" cm="1">
        <f t="array" ref="G16">_xlfn.XLOOKUP(F16,_xlfn.ANCHORARRAY(F2),I2:I5,"")</f>
        <v>0.44339622641509435</v>
      </c>
      <c r="H16">
        <f>2+G16</f>
        <v>2.4433962264150946</v>
      </c>
      <c r="J16" s="71"/>
      <c r="K16" s="70" t="str">
        <v>team 9</v>
      </c>
      <c r="L16" s="85" cm="1">
        <f t="array" ref="L16">_xlfn.XLOOKUP(K16,_xlfn.ANCHORARRAY(K2),N2:N5,"")</f>
        <v>0.5</v>
      </c>
      <c r="M16">
        <f>2+L16</f>
        <v>2.5</v>
      </c>
      <c r="O16" s="71"/>
      <c r="P16" s="70" t="str">
        <v>team 16</v>
      </c>
      <c r="Q16" s="85" cm="1">
        <f t="array" ref="Q16">_xlfn.XLOOKUP(P16,_xlfn.ANCHORARRAY(P2),S2:S5,"")</f>
        <v>0.43877551020408162</v>
      </c>
      <c r="R16">
        <f>2+Q16</f>
        <v>2.4387755102040818</v>
      </c>
      <c r="T16" s="71"/>
    </row>
    <row r="17" spans="1:20" ht="15.75" thickBot="1" x14ac:dyDescent="0.3">
      <c r="A17" s="72" t="str">
        <v>team 2</v>
      </c>
      <c r="B17" s="86" cm="1">
        <f t="array" ref="B17">_xlfn.XLOOKUP(A17,_xlfn.ANCHORARRAY(A2),D2:D5,"")</f>
        <v>0.41052631578947368</v>
      </c>
      <c r="C17" s="73">
        <f>1+B17</f>
        <v>1.4105263157894736</v>
      </c>
      <c r="D17" s="73"/>
      <c r="E17" s="74"/>
      <c r="F17" s="72" t="str">
        <v>team 6</v>
      </c>
      <c r="G17" s="86" cm="1">
        <f t="array" ref="G17">_xlfn.XLOOKUP(F17,_xlfn.ANCHORARRAY(F2),I2:I5,"")</f>
        <v>0.40217391304347827</v>
      </c>
      <c r="H17" s="73">
        <f>1+G17</f>
        <v>1.4021739130434783</v>
      </c>
      <c r="I17" s="73"/>
      <c r="J17" s="74"/>
      <c r="K17" s="72" t="str">
        <v>team 12</v>
      </c>
      <c r="L17" s="86" cm="1">
        <f t="array" ref="L17">_xlfn.XLOOKUP(K17,_xlfn.ANCHORARRAY(K2),N2:N5,"")</f>
        <v>0.40659340659340659</v>
      </c>
      <c r="M17" s="73">
        <f>1+L17</f>
        <v>1.4065934065934065</v>
      </c>
      <c r="N17" s="73"/>
      <c r="O17" s="74"/>
      <c r="P17" s="72" t="str">
        <v>team 15</v>
      </c>
      <c r="Q17" s="86" cm="1">
        <f t="array" ref="Q17">_xlfn.XLOOKUP(P17,_xlfn.ANCHORARRAY(P2),S2:S5,"")</f>
        <v>0.41111111111111109</v>
      </c>
      <c r="R17" s="73">
        <f>1+Q17</f>
        <v>1.411111111111111</v>
      </c>
      <c r="S17" s="73"/>
      <c r="T17" s="74"/>
    </row>
    <row r="18" spans="1:20" x14ac:dyDescent="0.25">
      <c r="A18" s="62" t="s">
        <v>16</v>
      </c>
      <c r="B18" s="63" t="s">
        <v>84</v>
      </c>
      <c r="C18" s="63" t="s">
        <v>85</v>
      </c>
      <c r="D18" s="63" t="s">
        <v>87</v>
      </c>
      <c r="E18" s="64" t="s">
        <v>86</v>
      </c>
      <c r="F18" s="62" t="s">
        <v>17</v>
      </c>
      <c r="G18" s="63" t="s">
        <v>84</v>
      </c>
      <c r="H18" s="63" t="s">
        <v>85</v>
      </c>
      <c r="I18" s="63" t="s">
        <v>87</v>
      </c>
      <c r="J18" s="64" t="s">
        <v>86</v>
      </c>
      <c r="K18" s="62" t="s">
        <v>18</v>
      </c>
      <c r="L18" s="63" t="s">
        <v>84</v>
      </c>
      <c r="M18" s="63" t="s">
        <v>85</v>
      </c>
      <c r="N18" s="63" t="s">
        <v>87</v>
      </c>
      <c r="O18" s="64" t="s">
        <v>86</v>
      </c>
      <c r="P18" s="62" t="s">
        <v>19</v>
      </c>
      <c r="Q18" s="63" t="s">
        <v>84</v>
      </c>
      <c r="R18" s="63" t="s">
        <v>85</v>
      </c>
      <c r="S18" s="63" t="s">
        <v>87</v>
      </c>
      <c r="T18" s="64" t="s">
        <v>86</v>
      </c>
    </row>
    <row r="19" spans="1:20" x14ac:dyDescent="0.25">
      <c r="A19" s="65" t="str" cm="1">
        <f t="array" ref="A19:A22">Pools!$B$7:$B$10</f>
        <v>team 17</v>
      </c>
      <c r="B19" s="75">
        <f>B24+B25+B26</f>
        <v>61</v>
      </c>
      <c r="C19" s="75">
        <f>B24+B25+B26+C24+C25+C26</f>
        <v>113</v>
      </c>
      <c r="D19" s="76">
        <f>IFERROR(B19/C19,"")</f>
        <v>0.53982300884955747</v>
      </c>
      <c r="E19" s="77">
        <f>IF(LEN(D19)=0,"",COUNTIF($E$24:$E$29,A19))</f>
        <v>2</v>
      </c>
      <c r="F19" s="65" t="str" cm="1">
        <f t="array" ref="F19:F22">Pools!$D$7:$D$10</f>
        <v>team 21</v>
      </c>
      <c r="G19" s="75">
        <f>G24+G25+G26</f>
        <v>9</v>
      </c>
      <c r="H19" s="75">
        <f>G24+G25+G26+H24+H25+H26</f>
        <v>70</v>
      </c>
      <c r="I19" s="76">
        <f>IFERROR(G19/H19,"")</f>
        <v>0.12857142857142856</v>
      </c>
      <c r="J19" s="77">
        <f>IF(LEN(I19)=0,"",COUNTIF($J$24:$J$29,F19))</f>
        <v>0</v>
      </c>
      <c r="K19" s="65" t="str" cm="1">
        <f t="array" ref="K19:K22">Pools!$F$7:$F$10</f>
        <v>team 25</v>
      </c>
      <c r="L19" s="75">
        <f>L24+L25+L26</f>
        <v>58</v>
      </c>
      <c r="M19" s="75">
        <f>L24+L25+L26+M24+M25+M26</f>
        <v>101</v>
      </c>
      <c r="N19" s="76">
        <f>IFERROR(L19/M19,"")</f>
        <v>0.57425742574257421</v>
      </c>
      <c r="O19" s="77">
        <f>IF(LEN(N19)=0,"",COUNTIF($O$24:$O$29,K19))</f>
        <v>2</v>
      </c>
      <c r="P19" s="65" t="str" cm="1">
        <f t="array" ref="P19:P22">Pools!$H$7:$H$10</f>
        <v>team 29</v>
      </c>
      <c r="Q19" s="75">
        <f>Q24+Q25+Q26</f>
        <v>35</v>
      </c>
      <c r="R19" s="75">
        <f>Q24+Q25+Q26+R24+R25+R26</f>
        <v>70</v>
      </c>
      <c r="S19" s="76">
        <f>IFERROR(Q19/R19,"")</f>
        <v>0.5</v>
      </c>
      <c r="T19" s="77">
        <f>IF(LEN(S19)=0,"",COUNTIF($T$24:$T$29,P19))</f>
        <v>1</v>
      </c>
    </row>
    <row r="20" spans="1:20" x14ac:dyDescent="0.25">
      <c r="A20" s="66" t="str">
        <v>team 18</v>
      </c>
      <c r="B20" s="75">
        <f>B27+B28+C24</f>
        <v>53</v>
      </c>
      <c r="C20" s="75">
        <f>B24+C24+B27+C27+B28+C28</f>
        <v>123</v>
      </c>
      <c r="D20" s="76">
        <f t="shared" ref="D20:D22" si="16">IFERROR(B20/C20,"")</f>
        <v>0.43089430894308944</v>
      </c>
      <c r="E20" s="78">
        <f t="shared" ref="E20:E22" si="17">IF(LEN(D20)=0,"",COUNTIF($E$24:$E$29,A20))</f>
        <v>0</v>
      </c>
      <c r="F20" s="66" t="str">
        <v>team 22</v>
      </c>
      <c r="G20" s="75">
        <f>G27+G28+H24</f>
        <v>65</v>
      </c>
      <c r="H20" s="75">
        <f>G24+H24+G27+H27+G28+H28</f>
        <v>92</v>
      </c>
      <c r="I20" s="76">
        <f t="shared" ref="I20:I22" si="18">IFERROR(G20/H20,"")</f>
        <v>0.70652173913043481</v>
      </c>
      <c r="J20" s="78">
        <f t="shared" ref="J20:J22" si="19">IF(LEN(I20)=0,"",COUNTIF($J$24:$J$29,F20))</f>
        <v>2</v>
      </c>
      <c r="K20" s="66" t="str">
        <v>team 26</v>
      </c>
      <c r="L20" s="75">
        <f>L27+L28+M24</f>
        <v>28</v>
      </c>
      <c r="M20" s="75">
        <f>L24+M24+L27+M27+L28+M28</f>
        <v>63</v>
      </c>
      <c r="N20" s="76">
        <f t="shared" ref="N20:N22" si="20">IFERROR(L20/M20,"")</f>
        <v>0.44444444444444442</v>
      </c>
      <c r="O20" s="78">
        <f t="shared" ref="O20:O22" si="21">IF(LEN(N20)=0,"",COUNTIF($O$24:$O$29,K20))</f>
        <v>1</v>
      </c>
      <c r="P20" s="66" t="str">
        <v>team 30</v>
      </c>
      <c r="Q20" s="75">
        <f>Q27+Q28+R24</f>
        <v>24</v>
      </c>
      <c r="R20" s="75">
        <f>Q24+R24+Q27+R27+Q28+R28</f>
        <v>88</v>
      </c>
      <c r="S20" s="76">
        <f t="shared" ref="S20:S22" si="22">IFERROR(Q20/R20,"")</f>
        <v>0.27272727272727271</v>
      </c>
      <c r="T20" s="78">
        <f t="shared" ref="T20:T22" si="23">IF(LEN(S20)=0,"",COUNTIF($T$24:$T$29,P20))</f>
        <v>0</v>
      </c>
    </row>
    <row r="21" spans="1:20" x14ac:dyDescent="0.25">
      <c r="A21" s="66" t="str">
        <v>team 19</v>
      </c>
      <c r="B21" s="75">
        <f>B29+C25+C27</f>
        <v>51</v>
      </c>
      <c r="C21" s="75">
        <f>B25+C25+B27+C27+B29+C29</f>
        <v>87</v>
      </c>
      <c r="D21" s="76">
        <f t="shared" si="16"/>
        <v>0.58620689655172409</v>
      </c>
      <c r="E21" s="78">
        <f t="shared" si="17"/>
        <v>2</v>
      </c>
      <c r="F21" s="66" t="str">
        <v>team 23</v>
      </c>
      <c r="G21" s="75">
        <f>G29+H25+H27</f>
        <v>28</v>
      </c>
      <c r="H21" s="75">
        <f>G25+H25+G27+H27+G29+H29</f>
        <v>67</v>
      </c>
      <c r="I21" s="76">
        <f t="shared" si="18"/>
        <v>0.41791044776119401</v>
      </c>
      <c r="J21" s="78">
        <f t="shared" si="19"/>
        <v>2</v>
      </c>
      <c r="K21" s="66" t="str">
        <v>team 27</v>
      </c>
      <c r="L21" s="75">
        <f>L29+M25+M27</f>
        <v>57</v>
      </c>
      <c r="M21" s="75">
        <f>L25+M25+L27+M27+L29+M29</f>
        <v>82</v>
      </c>
      <c r="N21" s="76">
        <f t="shared" si="20"/>
        <v>0.69512195121951215</v>
      </c>
      <c r="O21" s="78">
        <f t="shared" si="21"/>
        <v>3</v>
      </c>
      <c r="P21" s="66" t="str">
        <v>team 31</v>
      </c>
      <c r="Q21" s="75">
        <f>Q29+R25+R27</f>
        <v>72</v>
      </c>
      <c r="R21" s="75">
        <f>Q25+R25+Q27+R27+Q29+R29</f>
        <v>116</v>
      </c>
      <c r="S21" s="76">
        <f t="shared" si="22"/>
        <v>0.62068965517241381</v>
      </c>
      <c r="T21" s="78">
        <f t="shared" si="23"/>
        <v>3</v>
      </c>
    </row>
    <row r="22" spans="1:20" x14ac:dyDescent="0.25">
      <c r="A22" s="67" t="str">
        <v>team 20</v>
      </c>
      <c r="B22" s="75">
        <f>C26+C28+C29</f>
        <v>51</v>
      </c>
      <c r="C22" s="75">
        <f>B26+C26+B28+C28+B29+C29</f>
        <v>109</v>
      </c>
      <c r="D22" s="76">
        <f t="shared" si="16"/>
        <v>0.46788990825688076</v>
      </c>
      <c r="E22" s="79">
        <f t="shared" si="17"/>
        <v>2</v>
      </c>
      <c r="F22" s="67" t="str">
        <v>team 24</v>
      </c>
      <c r="G22" s="75">
        <f>H26+H28+H29</f>
        <v>56</v>
      </c>
      <c r="H22" s="75">
        <f>G26+H26+G28+H28+G29+H29</f>
        <v>87</v>
      </c>
      <c r="I22" s="76">
        <f t="shared" si="18"/>
        <v>0.64367816091954022</v>
      </c>
      <c r="J22" s="79">
        <f t="shared" si="19"/>
        <v>2</v>
      </c>
      <c r="K22" s="67" t="str">
        <v>team 28</v>
      </c>
      <c r="L22" s="75">
        <f>M26+M28+M29</f>
        <v>27</v>
      </c>
      <c r="M22" s="75">
        <f>L26+M26+L28+M28+L29+M29</f>
        <v>94</v>
      </c>
      <c r="N22" s="76">
        <f t="shared" si="20"/>
        <v>0.28723404255319152</v>
      </c>
      <c r="O22" s="79">
        <f t="shared" si="21"/>
        <v>0</v>
      </c>
      <c r="P22" s="67" t="str">
        <v>team 32</v>
      </c>
      <c r="Q22" s="75">
        <f>R26+R28+R29</f>
        <v>49</v>
      </c>
      <c r="R22" s="75">
        <f>Q26+R26+Q28+R28+Q29+R29</f>
        <v>86</v>
      </c>
      <c r="S22" s="76">
        <f t="shared" si="22"/>
        <v>0.56976744186046513</v>
      </c>
      <c r="T22" s="79">
        <f t="shared" si="23"/>
        <v>2</v>
      </c>
    </row>
    <row r="23" spans="1:20" x14ac:dyDescent="0.25">
      <c r="A23" s="68"/>
      <c r="B23" s="59"/>
      <c r="C23" s="59"/>
      <c r="D23" s="59"/>
      <c r="E23" s="69" t="s">
        <v>89</v>
      </c>
      <c r="F23" s="68"/>
      <c r="G23" s="59"/>
      <c r="H23" s="59"/>
      <c r="I23" s="59"/>
      <c r="J23" s="69" t="s">
        <v>89</v>
      </c>
      <c r="K23" s="68"/>
      <c r="L23" s="59"/>
      <c r="M23" s="59"/>
      <c r="N23" s="59"/>
      <c r="O23" s="69" t="s">
        <v>89</v>
      </c>
      <c r="P23" s="68"/>
      <c r="Q23" s="59"/>
      <c r="R23" s="59"/>
      <c r="S23" s="59"/>
      <c r="T23" s="69" t="s">
        <v>89</v>
      </c>
    </row>
    <row r="24" spans="1:20" x14ac:dyDescent="0.25">
      <c r="A24" s="70" t="str">
        <f>A19</f>
        <v>team 17</v>
      </c>
      <c r="B24" s="75">
        <f>'Pool Scores'!M3</f>
        <v>30</v>
      </c>
      <c r="C24" s="84">
        <f>'Pool Scores'!N3</f>
        <v>25</v>
      </c>
      <c r="D24" t="str">
        <f>A20</f>
        <v>team 18</v>
      </c>
      <c r="E24" s="80" t="str">
        <f>IF(OR(LEN(B24)=0,LEN(C24)=0),"",IF(B24&gt;C24,A24,D24))</f>
        <v>team 17</v>
      </c>
      <c r="F24" s="70" t="str">
        <f>F19</f>
        <v>team 21</v>
      </c>
      <c r="G24" s="75">
        <f>'Pool Scores'!M9</f>
        <v>3</v>
      </c>
      <c r="H24" s="84">
        <f>'Pool Scores'!N9</f>
        <v>24</v>
      </c>
      <c r="I24" t="str">
        <f>F20</f>
        <v>team 22</v>
      </c>
      <c r="J24" s="80" t="str">
        <f>IF(OR(LEN(G24)=0,LEN(H24)=0),"",IF(G24&gt;H24,F24,I24))</f>
        <v>team 22</v>
      </c>
      <c r="K24" s="70" t="str">
        <f>K19</f>
        <v>team 25</v>
      </c>
      <c r="L24" s="75">
        <f>'Pool Scores'!M15</f>
        <v>12</v>
      </c>
      <c r="M24" s="84">
        <f>'Pool Scores'!N15</f>
        <v>9</v>
      </c>
      <c r="N24" t="str">
        <f>K20</f>
        <v>team 26</v>
      </c>
      <c r="O24" s="80" t="str">
        <f>IF(OR(LEN(L24)=0,LEN(M24)=0),"",IF(L24&gt;M24,K24,N24))</f>
        <v>team 25</v>
      </c>
      <c r="P24" s="70" t="str">
        <f>P19</f>
        <v>team 29</v>
      </c>
      <c r="Q24" s="75">
        <f>'Pool Scores'!M21</f>
        <v>14</v>
      </c>
      <c r="R24" s="84">
        <f>'Pool Scores'!N21</f>
        <v>9</v>
      </c>
      <c r="S24" t="str">
        <f>P20</f>
        <v>team 30</v>
      </c>
      <c r="T24" s="80" t="str">
        <f>IF(OR(LEN(Q24)=0,LEN(R24)=0),"",IF(Q24&gt;R24,P24,S24))</f>
        <v>team 29</v>
      </c>
    </row>
    <row r="25" spans="1:20" x14ac:dyDescent="0.25">
      <c r="A25" s="70" t="str">
        <f>A19</f>
        <v>team 17</v>
      </c>
      <c r="B25" s="75">
        <f>'Pool Scores'!M4</f>
        <v>5</v>
      </c>
      <c r="C25" s="84">
        <f>'Pool Scores'!N4</f>
        <v>23</v>
      </c>
      <c r="D25" t="str">
        <f t="shared" ref="D25:D26" si="24">A21</f>
        <v>team 19</v>
      </c>
      <c r="E25" s="81" t="str">
        <f t="shared" ref="E25:E29" si="25">IF(OR(LEN(B25)=0,LEN(C25)=0),"",IF(B25&gt;C25,A25,D25))</f>
        <v>team 19</v>
      </c>
      <c r="F25" s="70" t="str">
        <f>F19</f>
        <v>team 21</v>
      </c>
      <c r="G25" s="75">
        <f>'Pool Scores'!M10</f>
        <v>3</v>
      </c>
      <c r="H25" s="84">
        <f>'Pool Scores'!N10</f>
        <v>10</v>
      </c>
      <c r="I25" t="str">
        <f t="shared" ref="I25:I26" si="26">F21</f>
        <v>team 23</v>
      </c>
      <c r="J25" s="81" t="str">
        <f t="shared" ref="J25:J29" si="27">IF(OR(LEN(G25)=0,LEN(H25)=0),"",IF(G25&gt;H25,F25,I25))</f>
        <v>team 23</v>
      </c>
      <c r="K25" s="70" t="str">
        <f>K19</f>
        <v>team 25</v>
      </c>
      <c r="L25" s="75">
        <f>'Pool Scores'!M16</f>
        <v>18</v>
      </c>
      <c r="M25" s="84">
        <f>'Pool Scores'!N16</f>
        <v>20</v>
      </c>
      <c r="N25" t="str">
        <f t="shared" ref="N25:N26" si="28">K21</f>
        <v>team 27</v>
      </c>
      <c r="O25" s="81" t="str">
        <f t="shared" ref="O25:O29" si="29">IF(OR(LEN(L25)=0,LEN(M25)=0),"",IF(L25&gt;M25,K25,N25))</f>
        <v>team 27</v>
      </c>
      <c r="P25" s="70" t="str">
        <f>P19</f>
        <v>team 29</v>
      </c>
      <c r="Q25" s="75">
        <f>'Pool Scores'!M22</f>
        <v>19</v>
      </c>
      <c r="R25" s="84">
        <f>'Pool Scores'!N22</f>
        <v>24</v>
      </c>
      <c r="S25" t="str">
        <f t="shared" ref="S25:S26" si="30">P21</f>
        <v>team 31</v>
      </c>
      <c r="T25" s="81" t="str">
        <f t="shared" ref="T25:T29" si="31">IF(OR(LEN(Q25)=0,LEN(R25)=0),"",IF(Q25&gt;R25,P25,S25))</f>
        <v>team 31</v>
      </c>
    </row>
    <row r="26" spans="1:20" x14ac:dyDescent="0.25">
      <c r="A26" s="70" t="str">
        <f>A19</f>
        <v>team 17</v>
      </c>
      <c r="B26" s="75">
        <f>'Pool Scores'!M5</f>
        <v>26</v>
      </c>
      <c r="C26" s="84">
        <f>'Pool Scores'!N5</f>
        <v>4</v>
      </c>
      <c r="D26" t="str">
        <f t="shared" si="24"/>
        <v>team 20</v>
      </c>
      <c r="E26" s="81" t="str">
        <f t="shared" si="25"/>
        <v>team 17</v>
      </c>
      <c r="F26" s="70" t="str">
        <f>F19</f>
        <v>team 21</v>
      </c>
      <c r="G26" s="75">
        <f>'Pool Scores'!M11</f>
        <v>3</v>
      </c>
      <c r="H26" s="84">
        <f>'Pool Scores'!N11</f>
        <v>27</v>
      </c>
      <c r="I26" t="str">
        <f t="shared" si="26"/>
        <v>team 24</v>
      </c>
      <c r="J26" s="81" t="str">
        <f t="shared" si="27"/>
        <v>team 24</v>
      </c>
      <c r="K26" s="70" t="str">
        <f>K19</f>
        <v>team 25</v>
      </c>
      <c r="L26" s="75">
        <f>'Pool Scores'!M17</f>
        <v>28</v>
      </c>
      <c r="M26" s="84">
        <f>'Pool Scores'!N17</f>
        <v>14</v>
      </c>
      <c r="N26" t="str">
        <f t="shared" si="28"/>
        <v>team 28</v>
      </c>
      <c r="O26" s="81" t="str">
        <f t="shared" si="29"/>
        <v>team 25</v>
      </c>
      <c r="P26" s="70" t="str">
        <f>P19</f>
        <v>team 29</v>
      </c>
      <c r="Q26" s="75">
        <f>'Pool Scores'!M23</f>
        <v>2</v>
      </c>
      <c r="R26" s="84">
        <f>'Pool Scores'!N23</f>
        <v>2</v>
      </c>
      <c r="S26" t="str">
        <f t="shared" si="30"/>
        <v>team 32</v>
      </c>
      <c r="T26" s="81" t="str">
        <f t="shared" si="31"/>
        <v>team 32</v>
      </c>
    </row>
    <row r="27" spans="1:20" x14ac:dyDescent="0.25">
      <c r="A27" s="70" t="str">
        <f>A20</f>
        <v>team 18</v>
      </c>
      <c r="B27" s="75">
        <f>'Pool Scores'!O4</f>
        <v>8</v>
      </c>
      <c r="C27" s="84">
        <f>'Pool Scores'!P4</f>
        <v>16</v>
      </c>
      <c r="D27" t="str">
        <f>A21</f>
        <v>team 19</v>
      </c>
      <c r="E27" s="81" t="str">
        <f t="shared" si="25"/>
        <v>team 19</v>
      </c>
      <c r="F27" s="70" t="str">
        <f>F20</f>
        <v>team 22</v>
      </c>
      <c r="G27" s="75">
        <f>'Pool Scores'!O10</f>
        <v>15</v>
      </c>
      <c r="H27" s="84">
        <f>'Pool Scores'!P10</f>
        <v>16</v>
      </c>
      <c r="I27" t="str">
        <f>F21</f>
        <v>team 23</v>
      </c>
      <c r="J27" s="81" t="str">
        <f t="shared" si="27"/>
        <v>team 23</v>
      </c>
      <c r="K27" s="70" t="str">
        <f>K20</f>
        <v>team 26</v>
      </c>
      <c r="L27" s="75">
        <f>'Pool Scores'!O16</f>
        <v>3</v>
      </c>
      <c r="M27" s="84">
        <f>'Pool Scores'!P16</f>
        <v>14</v>
      </c>
      <c r="N27" t="str">
        <f>K21</f>
        <v>team 27</v>
      </c>
      <c r="O27" s="81" t="str">
        <f t="shared" si="29"/>
        <v>team 27</v>
      </c>
      <c r="P27" s="70" t="str">
        <f>P20</f>
        <v>team 30</v>
      </c>
      <c r="Q27" s="75">
        <f>'Pool Scores'!O22</f>
        <v>6</v>
      </c>
      <c r="R27" s="84">
        <f>'Pool Scores'!P22</f>
        <v>22</v>
      </c>
      <c r="S27" t="str">
        <f>P21</f>
        <v>team 31</v>
      </c>
      <c r="T27" s="81" t="str">
        <f t="shared" si="31"/>
        <v>team 31</v>
      </c>
    </row>
    <row r="28" spans="1:20" x14ac:dyDescent="0.25">
      <c r="A28" s="70" t="str">
        <f>A20</f>
        <v>team 18</v>
      </c>
      <c r="B28" s="75">
        <f>'Pool Scores'!O5</f>
        <v>20</v>
      </c>
      <c r="C28" s="84">
        <f>'Pool Scores'!P5</f>
        <v>24</v>
      </c>
      <c r="D28" t="str">
        <f>A22</f>
        <v>team 20</v>
      </c>
      <c r="E28" s="81" t="str">
        <f t="shared" si="25"/>
        <v>team 20</v>
      </c>
      <c r="F28" s="70" t="str">
        <f>F20</f>
        <v>team 22</v>
      </c>
      <c r="G28" s="75">
        <f>'Pool Scores'!O11</f>
        <v>26</v>
      </c>
      <c r="H28" s="84">
        <f>'Pool Scores'!P11</f>
        <v>8</v>
      </c>
      <c r="I28" t="str">
        <f>F22</f>
        <v>team 24</v>
      </c>
      <c r="J28" s="81" t="str">
        <f t="shared" si="27"/>
        <v>team 22</v>
      </c>
      <c r="K28" s="70" t="str">
        <f>K20</f>
        <v>team 26</v>
      </c>
      <c r="L28" s="75">
        <f>'Pool Scores'!O17</f>
        <v>16</v>
      </c>
      <c r="M28" s="84">
        <f>'Pool Scores'!P17</f>
        <v>9</v>
      </c>
      <c r="N28" t="str">
        <f>K22</f>
        <v>team 28</v>
      </c>
      <c r="O28" s="81" t="str">
        <f t="shared" si="29"/>
        <v>team 26</v>
      </c>
      <c r="P28" s="70" t="str">
        <f>P20</f>
        <v>team 30</v>
      </c>
      <c r="Q28" s="75">
        <f>'Pool Scores'!O23</f>
        <v>9</v>
      </c>
      <c r="R28" s="84">
        <f>'Pool Scores'!P23</f>
        <v>28</v>
      </c>
      <c r="S28" t="str">
        <f>P22</f>
        <v>team 32</v>
      </c>
      <c r="T28" s="81" t="str">
        <f t="shared" si="31"/>
        <v>team 32</v>
      </c>
    </row>
    <row r="29" spans="1:20" x14ac:dyDescent="0.25">
      <c r="A29" s="70" t="str">
        <f>A21</f>
        <v>team 19</v>
      </c>
      <c r="B29" s="75">
        <f>'Pool Scores'!Q5</f>
        <v>12</v>
      </c>
      <c r="C29" s="84">
        <f>'Pool Scores'!R5</f>
        <v>23</v>
      </c>
      <c r="D29" t="str">
        <f>A22</f>
        <v>team 20</v>
      </c>
      <c r="E29" s="82" t="str">
        <f t="shared" si="25"/>
        <v>team 20</v>
      </c>
      <c r="F29" s="70" t="str">
        <f>F21</f>
        <v>team 23</v>
      </c>
      <c r="G29" s="75">
        <f>'Pool Scores'!Q11</f>
        <v>2</v>
      </c>
      <c r="H29" s="84">
        <f>'Pool Scores'!R11</f>
        <v>21</v>
      </c>
      <c r="I29" t="str">
        <f>F22</f>
        <v>team 24</v>
      </c>
      <c r="J29" s="82" t="str">
        <f t="shared" si="27"/>
        <v>team 24</v>
      </c>
      <c r="K29" s="70" t="str">
        <f>K21</f>
        <v>team 27</v>
      </c>
      <c r="L29" s="75">
        <f>'Pool Scores'!Q17</f>
        <v>23</v>
      </c>
      <c r="M29" s="84">
        <f>'Pool Scores'!R17</f>
        <v>4</v>
      </c>
      <c r="N29" t="str">
        <f>K22</f>
        <v>team 28</v>
      </c>
      <c r="O29" s="82" t="str">
        <f t="shared" si="29"/>
        <v>team 27</v>
      </c>
      <c r="P29" s="70" t="str">
        <f>P21</f>
        <v>team 31</v>
      </c>
      <c r="Q29" s="75">
        <f>'Pool Scores'!Q23</f>
        <v>26</v>
      </c>
      <c r="R29" s="84">
        <f>'Pool Scores'!R23</f>
        <v>19</v>
      </c>
      <c r="S29" t="str">
        <f>P22</f>
        <v>team 32</v>
      </c>
      <c r="T29" s="82" t="str">
        <f t="shared" si="31"/>
        <v>team 31</v>
      </c>
    </row>
    <row r="30" spans="1:20" x14ac:dyDescent="0.25">
      <c r="A30" s="68" t="s">
        <v>88</v>
      </c>
      <c r="B30" s="59" t="s">
        <v>90</v>
      </c>
      <c r="C30" s="59" t="s">
        <v>103</v>
      </c>
      <c r="D30" s="59"/>
      <c r="E30" s="69"/>
      <c r="F30" s="68" t="s">
        <v>88</v>
      </c>
      <c r="G30" s="59" t="s">
        <v>90</v>
      </c>
      <c r="H30" s="59" t="s">
        <v>103</v>
      </c>
      <c r="I30" s="59"/>
      <c r="J30" s="69"/>
      <c r="K30" s="68" t="s">
        <v>88</v>
      </c>
      <c r="L30" s="59" t="s">
        <v>90</v>
      </c>
      <c r="M30" s="59" t="s">
        <v>103</v>
      </c>
      <c r="N30" s="59"/>
      <c r="O30" s="69"/>
      <c r="P30" s="68" t="s">
        <v>88</v>
      </c>
      <c r="Q30" s="59" t="s">
        <v>90</v>
      </c>
      <c r="R30" s="59" t="s">
        <v>103</v>
      </c>
      <c r="S30" s="59"/>
      <c r="T30" s="69"/>
    </row>
    <row r="31" spans="1:20" x14ac:dyDescent="0.25">
      <c r="A31" s="70" t="str" cm="1">
        <f t="array" ref="A31:A34">_xlfn.SORTBY(A19:A22,E19:E22,-1,B19:B22,-1,D19:D22,-1)</f>
        <v>team 17</v>
      </c>
      <c r="B31" s="85" cm="1">
        <f t="array" ref="B31">_xlfn.XLOOKUP(A31,_xlfn.ANCHORARRAY(A19),D19:D22,"")</f>
        <v>0.53982300884955747</v>
      </c>
      <c r="C31">
        <f>4+B31</f>
        <v>4.5398230088495577</v>
      </c>
      <c r="E31" s="71"/>
      <c r="F31" s="70" t="str" cm="1">
        <f t="array" ref="F31:F34">_xlfn.SORTBY(F19:F22,J19:J22,-1,G19:G22,-1,I19:I22,-1)</f>
        <v>team 22</v>
      </c>
      <c r="G31" s="85" cm="1">
        <f t="array" ref="G31">_xlfn.XLOOKUP(F31,_xlfn.ANCHORARRAY(F19),I19:I22,"")</f>
        <v>0.70652173913043481</v>
      </c>
      <c r="H31">
        <f>4+G31</f>
        <v>4.7065217391304346</v>
      </c>
      <c r="J31" s="71"/>
      <c r="K31" s="70" t="str" cm="1">
        <f t="array" ref="K31:K34">_xlfn.SORTBY(K19:K22,O19:O22,-1,L19:L22,-1,N19:N22,-1)</f>
        <v>team 27</v>
      </c>
      <c r="L31" s="85" cm="1">
        <f t="array" ref="L31">_xlfn.XLOOKUP(K31,_xlfn.ANCHORARRAY(K19),N19:N22,"")</f>
        <v>0.69512195121951215</v>
      </c>
      <c r="M31">
        <f>4+L31</f>
        <v>4.6951219512195124</v>
      </c>
      <c r="O31" s="71"/>
      <c r="P31" s="70" t="str" cm="1">
        <f t="array" ref="P31:P34">_xlfn.SORTBY(P19:P22,T19:T22,-1,Q19:Q22,-1,S19:S22,-1)</f>
        <v>team 31</v>
      </c>
      <c r="Q31" s="85" cm="1">
        <f t="array" ref="Q31">_xlfn.XLOOKUP(P31,_xlfn.ANCHORARRAY(P19),S19:S22,"")</f>
        <v>0.62068965517241381</v>
      </c>
      <c r="R31">
        <f>4+Q31</f>
        <v>4.6206896551724137</v>
      </c>
      <c r="T31" s="71"/>
    </row>
    <row r="32" spans="1:20" x14ac:dyDescent="0.25">
      <c r="A32" s="70" t="str">
        <v>team 19</v>
      </c>
      <c r="B32" s="85" cm="1">
        <f t="array" ref="B32">_xlfn.XLOOKUP(A32,_xlfn.ANCHORARRAY(A19),D19:D22,"")</f>
        <v>0.58620689655172409</v>
      </c>
      <c r="C32">
        <f>3+B32</f>
        <v>3.5862068965517242</v>
      </c>
      <c r="E32" s="71"/>
      <c r="F32" s="70" t="str">
        <v>team 24</v>
      </c>
      <c r="G32" s="85" cm="1">
        <f t="array" ref="G32">_xlfn.XLOOKUP(F32,_xlfn.ANCHORARRAY(F19),I19:I22,"")</f>
        <v>0.64367816091954022</v>
      </c>
      <c r="H32">
        <f>3+G32</f>
        <v>3.6436781609195403</v>
      </c>
      <c r="J32" s="71"/>
      <c r="K32" s="70" t="str">
        <v>team 25</v>
      </c>
      <c r="L32" s="85" cm="1">
        <f t="array" ref="L32">_xlfn.XLOOKUP(K32,_xlfn.ANCHORARRAY(K19),N19:N22,"")</f>
        <v>0.57425742574257421</v>
      </c>
      <c r="M32">
        <f>3+L32</f>
        <v>3.5742574257425743</v>
      </c>
      <c r="O32" s="71"/>
      <c r="P32" s="70" t="str">
        <v>team 32</v>
      </c>
      <c r="Q32" s="85" cm="1">
        <f t="array" ref="Q32">_xlfn.XLOOKUP(P32,_xlfn.ANCHORARRAY(P19),S19:S22,"")</f>
        <v>0.56976744186046513</v>
      </c>
      <c r="R32">
        <f>3+Q32</f>
        <v>3.5697674418604652</v>
      </c>
      <c r="T32" s="71"/>
    </row>
    <row r="33" spans="1:20" x14ac:dyDescent="0.25">
      <c r="A33" s="70" t="str">
        <v>team 20</v>
      </c>
      <c r="B33" s="85" cm="1">
        <f t="array" ref="B33">_xlfn.XLOOKUP(A33,_xlfn.ANCHORARRAY(A19),D19:D22,"")</f>
        <v>0.46788990825688076</v>
      </c>
      <c r="C33">
        <f>2+B33</f>
        <v>2.4678899082568808</v>
      </c>
      <c r="E33" s="71"/>
      <c r="F33" s="70" t="str">
        <v>team 23</v>
      </c>
      <c r="G33" s="85" cm="1">
        <f t="array" ref="G33">_xlfn.XLOOKUP(F33,_xlfn.ANCHORARRAY(F19),I19:I22,"")</f>
        <v>0.41791044776119401</v>
      </c>
      <c r="H33">
        <f>2+G33</f>
        <v>2.4179104477611939</v>
      </c>
      <c r="J33" s="71"/>
      <c r="K33" s="70" t="str">
        <v>team 26</v>
      </c>
      <c r="L33" s="85" cm="1">
        <f t="array" ref="L33">_xlfn.XLOOKUP(K33,_xlfn.ANCHORARRAY(K19),N19:N22,"")</f>
        <v>0.44444444444444442</v>
      </c>
      <c r="M33">
        <f>2+L33</f>
        <v>2.4444444444444446</v>
      </c>
      <c r="O33" s="71"/>
      <c r="P33" s="70" t="str">
        <v>team 29</v>
      </c>
      <c r="Q33" s="85" cm="1">
        <f t="array" ref="Q33">_xlfn.XLOOKUP(P33,_xlfn.ANCHORARRAY(P19),S19:S22,"")</f>
        <v>0.5</v>
      </c>
      <c r="R33">
        <f>2+Q33</f>
        <v>2.5</v>
      </c>
      <c r="T33" s="71"/>
    </row>
    <row r="34" spans="1:20" ht="15.75" thickBot="1" x14ac:dyDescent="0.3">
      <c r="A34" s="72" t="str">
        <v>team 18</v>
      </c>
      <c r="B34" s="86" cm="1">
        <f t="array" ref="B34">_xlfn.XLOOKUP(A34,_xlfn.ANCHORARRAY(A19),D19:D22,"")</f>
        <v>0.43089430894308944</v>
      </c>
      <c r="C34" s="73">
        <f>1+B34</f>
        <v>1.4308943089430894</v>
      </c>
      <c r="D34" s="73"/>
      <c r="E34" s="74"/>
      <c r="F34" s="72" t="str">
        <v>team 21</v>
      </c>
      <c r="G34" s="86" cm="1">
        <f t="array" ref="G34">_xlfn.XLOOKUP(F34,_xlfn.ANCHORARRAY(F19),I19:I22,"")</f>
        <v>0.12857142857142856</v>
      </c>
      <c r="H34" s="73">
        <f>1+G34</f>
        <v>1.1285714285714286</v>
      </c>
      <c r="I34" s="73"/>
      <c r="J34" s="74"/>
      <c r="K34" s="72" t="str">
        <v>team 28</v>
      </c>
      <c r="L34" s="86" cm="1">
        <f t="array" ref="L34">_xlfn.XLOOKUP(K34,_xlfn.ANCHORARRAY(K19),N19:N22,"")</f>
        <v>0.28723404255319152</v>
      </c>
      <c r="M34" s="73">
        <f>1+L34</f>
        <v>1.2872340425531914</v>
      </c>
      <c r="N34" s="73"/>
      <c r="O34" s="74"/>
      <c r="P34" s="72" t="str">
        <v>team 30</v>
      </c>
      <c r="Q34" s="86" cm="1">
        <f t="array" ref="Q34">_xlfn.XLOOKUP(P34,_xlfn.ANCHORARRAY(P19),S19:S22,"")</f>
        <v>0.27272727272727271</v>
      </c>
      <c r="R34" s="73">
        <f>1+Q34</f>
        <v>1.2727272727272727</v>
      </c>
      <c r="S34" s="73"/>
      <c r="T34" s="74"/>
    </row>
    <row r="37" spans="1:20" x14ac:dyDescent="0.25">
      <c r="A37" s="159" t="s">
        <v>104</v>
      </c>
      <c r="B37" s="160"/>
      <c r="C37" s="161"/>
      <c r="E37" s="162" t="s">
        <v>105</v>
      </c>
      <c r="F37" s="163"/>
      <c r="H37" s="164" t="s">
        <v>106</v>
      </c>
      <c r="I37" s="165"/>
      <c r="J37" s="165"/>
      <c r="K37" s="166"/>
    </row>
    <row r="38" spans="1:20" x14ac:dyDescent="0.25">
      <c r="A38" s="109" t="s">
        <v>91</v>
      </c>
      <c r="B38" s="109" t="s">
        <v>90</v>
      </c>
      <c r="C38" s="109" t="s">
        <v>115</v>
      </c>
      <c r="E38" s="108" t="s">
        <v>91</v>
      </c>
      <c r="F38" s="108" t="s">
        <v>115</v>
      </c>
      <c r="H38" s="107" t="s">
        <v>107</v>
      </c>
      <c r="I38" s="107" t="s">
        <v>110</v>
      </c>
      <c r="J38" s="107" t="s">
        <v>108</v>
      </c>
      <c r="K38" s="107" t="s">
        <v>109</v>
      </c>
    </row>
    <row r="39" spans="1:20" x14ac:dyDescent="0.25">
      <c r="A39" s="60" t="str" cm="1">
        <f t="array" ref="A39:C42">IFERROR(A14:C17,"")</f>
        <v>team 4</v>
      </c>
      <c r="B39" s="60">
        <v>0.71764705882352942</v>
      </c>
      <c r="C39" s="60">
        <v>4.7176470588235295</v>
      </c>
      <c r="E39" s="60" t="str" cm="1">
        <f t="array" ref="E39:E70">_xlfn.SORTBY(A39:A70,C39:C70,-1)</f>
        <v>team 4</v>
      </c>
      <c r="F39" s="60">
        <f t="shared" ref="F39:F70" si="32">_xlfn.XLOOKUP(E39,$A$39:$A$70,$C$39:$C$70,"")</f>
        <v>4.7176470588235295</v>
      </c>
      <c r="H39" s="60" t="str" cm="1">
        <f t="array" aca="1" ref="H39:H46" ca="1">IFERROR(withbyes(OFFSET(_xlfn.ANCHORARRAY($E$39),0,0,'TOURNAMENT DETAILS'!B5)),"")</f>
        <v>team 4</v>
      </c>
      <c r="I39" s="60" t="str" cm="1">
        <f t="array" aca="1" ref="I39:I46" ca="1">IFERROR(withbyes(OFFSET(_xlfn.ANCHORARRAY($E$39),'TOURNAMENT DETAILS'!B5,0,'TOURNAMENT DETAILS'!B6)),"")</f>
        <v>team 24</v>
      </c>
      <c r="J39" s="60" t="str" cm="1">
        <f t="array" aca="1" ref="J39:J46" ca="1">IFERROR(withbyes(OFFSET(_xlfn.ANCHORARRAY($E$39),'TOURNAMENT DETAILS'!B5+'TOURNAMENT DETAILS'!B6,0,'TOURNAMENT DETAILS'!B7)),"")</f>
        <v>team 9</v>
      </c>
      <c r="K39" s="60" t="str" cm="1">
        <f t="array" aca="1" ref="K39:K46" ca="1">IFERROR(withbyes(OFFSET(_xlfn.ANCHORARRAY($E$39),'TOURNAMENT DETAILS'!B5+'TOURNAMENT DETAILS'!B6+'TOURNAMENT DETAILS'!B7,0,'TOURNAMENT DETAILS'!B8)),"")</f>
        <v>team 18</v>
      </c>
    </row>
    <row r="40" spans="1:20" x14ac:dyDescent="0.25">
      <c r="A40" s="60" t="str">
        <v>team 1</v>
      </c>
      <c r="B40" s="60">
        <v>0.55319148936170215</v>
      </c>
      <c r="C40" s="60">
        <v>3.5531914893617023</v>
      </c>
      <c r="E40" s="60" t="str">
        <v>team 22</v>
      </c>
      <c r="F40" s="60">
        <f t="shared" si="32"/>
        <v>4.7065217391304346</v>
      </c>
      <c r="H40" s="60" t="str">
        <f ca="1"/>
        <v>team 22</v>
      </c>
      <c r="I40" s="60" t="str">
        <f ca="1"/>
        <v>team 19</v>
      </c>
      <c r="J40" s="60" t="str">
        <f ca="1"/>
        <v>team 29</v>
      </c>
      <c r="K40" s="60" t="str">
        <f ca="1"/>
        <v>team 15</v>
      </c>
    </row>
    <row r="41" spans="1:20" x14ac:dyDescent="0.25">
      <c r="A41" s="60" t="str">
        <v>team 3</v>
      </c>
      <c r="B41" s="60">
        <v>0.3728813559322034</v>
      </c>
      <c r="C41" s="60">
        <v>2.3728813559322033</v>
      </c>
      <c r="E41" s="60" t="str">
        <v>team 27</v>
      </c>
      <c r="F41" s="60">
        <f t="shared" si="32"/>
        <v>4.6951219512195124</v>
      </c>
      <c r="H41" s="60" t="str">
        <f ca="1"/>
        <v>team 27</v>
      </c>
      <c r="I41" s="60" t="str">
        <f ca="1"/>
        <v>team 25</v>
      </c>
      <c r="J41" s="60" t="str">
        <f ca="1"/>
        <v>team 20</v>
      </c>
      <c r="K41" s="60" t="str">
        <f ca="1"/>
        <v>team 2</v>
      </c>
    </row>
    <row r="42" spans="1:20" x14ac:dyDescent="0.25">
      <c r="A42" s="60" t="str">
        <v>team 2</v>
      </c>
      <c r="B42" s="60">
        <v>0.41052631578947368</v>
      </c>
      <c r="C42" s="60">
        <v>1.4105263157894736</v>
      </c>
      <c r="E42" s="60" t="str">
        <v>team 31</v>
      </c>
      <c r="F42" s="60">
        <f t="shared" si="32"/>
        <v>4.6206896551724137</v>
      </c>
      <c r="H42" s="60" t="str">
        <f ca="1"/>
        <v>team 31</v>
      </c>
      <c r="I42" s="60" t="str">
        <f ca="1"/>
        <v>team 32</v>
      </c>
      <c r="J42" s="60" t="str">
        <f ca="1"/>
        <v>team 26</v>
      </c>
      <c r="K42" s="60" t="str">
        <f ca="1"/>
        <v>team 12</v>
      </c>
    </row>
    <row r="43" spans="1:20" x14ac:dyDescent="0.25">
      <c r="A43" s="60" t="str" cm="1">
        <f t="array" ref="A43:C46">IFERROR(F14:H17,"")</f>
        <v>team 5</v>
      </c>
      <c r="B43" s="60">
        <v>0.59595959595959591</v>
      </c>
      <c r="C43" s="60">
        <v>4.595959595959596</v>
      </c>
      <c r="E43" s="60" t="str">
        <v>team 11</v>
      </c>
      <c r="F43" s="60">
        <f t="shared" si="32"/>
        <v>4.615384615384615</v>
      </c>
      <c r="H43" s="60" t="str">
        <f ca="1"/>
        <v>team 11</v>
      </c>
      <c r="I43" s="60" t="str">
        <f ca="1"/>
        <v>team 1</v>
      </c>
      <c r="J43" s="60" t="str">
        <f ca="1"/>
        <v>team 7</v>
      </c>
      <c r="K43" s="60" t="str">
        <f ca="1"/>
        <v>team 6</v>
      </c>
    </row>
    <row r="44" spans="1:20" x14ac:dyDescent="0.25">
      <c r="A44" s="60" t="str">
        <v>team 8</v>
      </c>
      <c r="B44" s="60">
        <v>0.53956834532374098</v>
      </c>
      <c r="C44" s="60">
        <v>3.5395683453237412</v>
      </c>
      <c r="E44" s="60" t="str">
        <v>team 14</v>
      </c>
      <c r="F44" s="60">
        <f t="shared" si="32"/>
        <v>4.596774193548387</v>
      </c>
      <c r="H44" s="60" t="str">
        <f ca="1"/>
        <v>team 14</v>
      </c>
      <c r="I44" s="60" t="str">
        <f ca="1"/>
        <v>team 8</v>
      </c>
      <c r="J44" s="60" t="str">
        <f ca="1"/>
        <v>team 16</v>
      </c>
      <c r="K44" s="60" t="str">
        <f ca="1"/>
        <v>team 28</v>
      </c>
    </row>
    <row r="45" spans="1:20" x14ac:dyDescent="0.25">
      <c r="A45" s="60" t="str">
        <v>team 7</v>
      </c>
      <c r="B45" s="60">
        <v>0.44339622641509435</v>
      </c>
      <c r="C45" s="60">
        <v>2.4433962264150946</v>
      </c>
      <c r="E45" s="60" t="str">
        <v>team 5</v>
      </c>
      <c r="F45" s="60">
        <f t="shared" si="32"/>
        <v>4.595959595959596</v>
      </c>
      <c r="H45" s="60" t="str">
        <f ca="1"/>
        <v>team 5</v>
      </c>
      <c r="I45" s="60" t="str">
        <f ca="1"/>
        <v>team 13</v>
      </c>
      <c r="J45" s="60" t="str">
        <f ca="1"/>
        <v>team 23</v>
      </c>
      <c r="K45" s="60" t="str">
        <f ca="1"/>
        <v>team 30</v>
      </c>
    </row>
    <row r="46" spans="1:20" x14ac:dyDescent="0.25">
      <c r="A46" s="60" t="str">
        <v>team 6</v>
      </c>
      <c r="B46" s="60">
        <v>0.40217391304347827</v>
      </c>
      <c r="C46" s="60">
        <v>1.4021739130434783</v>
      </c>
      <c r="E46" s="60" t="str">
        <v>team 17</v>
      </c>
      <c r="F46" s="60">
        <f t="shared" si="32"/>
        <v>4.5398230088495577</v>
      </c>
      <c r="H46" s="60" t="str">
        <f ca="1"/>
        <v>team 17</v>
      </c>
      <c r="I46" s="60" t="str">
        <f ca="1"/>
        <v>team 10</v>
      </c>
      <c r="J46" s="60" t="str">
        <f ca="1"/>
        <v>team 3</v>
      </c>
      <c r="K46" s="60" t="str">
        <f ca="1"/>
        <v>team 21</v>
      </c>
    </row>
    <row r="47" spans="1:20" x14ac:dyDescent="0.25">
      <c r="A47" s="60" t="str" cm="1">
        <f t="array" ref="A47:C50">IFERROR(K14:M17,"")</f>
        <v>team 11</v>
      </c>
      <c r="B47" s="60">
        <v>0.61538461538461542</v>
      </c>
      <c r="C47" s="60">
        <v>4.615384615384615</v>
      </c>
      <c r="E47" s="60" t="str">
        <v>team 24</v>
      </c>
      <c r="F47" s="60">
        <f t="shared" si="32"/>
        <v>3.6436781609195403</v>
      </c>
      <c r="H47" s="60"/>
      <c r="I47" s="60"/>
      <c r="J47" s="60"/>
      <c r="K47" s="60"/>
    </row>
    <row r="48" spans="1:20" x14ac:dyDescent="0.25">
      <c r="A48" s="60" t="str">
        <v>team 10</v>
      </c>
      <c r="B48" s="60">
        <v>0.46666666666666667</v>
      </c>
      <c r="C48" s="60">
        <v>3.4666666666666668</v>
      </c>
      <c r="E48" s="60" t="str">
        <v>team 19</v>
      </c>
      <c r="F48" s="60">
        <f t="shared" si="32"/>
        <v>3.5862068965517242</v>
      </c>
      <c r="H48" s="60"/>
      <c r="I48" s="60"/>
      <c r="J48" s="60"/>
      <c r="K48" s="60"/>
    </row>
    <row r="49" spans="1:11" x14ac:dyDescent="0.25">
      <c r="A49" s="60" t="str">
        <v>team 9</v>
      </c>
      <c r="B49" s="60">
        <v>0.5</v>
      </c>
      <c r="C49" s="60">
        <v>2.5</v>
      </c>
      <c r="E49" s="60" t="str">
        <v>team 25</v>
      </c>
      <c r="F49" s="60">
        <f t="shared" si="32"/>
        <v>3.5742574257425743</v>
      </c>
      <c r="H49" s="60"/>
      <c r="I49" s="60"/>
      <c r="J49" s="60"/>
      <c r="K49" s="60"/>
    </row>
    <row r="50" spans="1:11" x14ac:dyDescent="0.25">
      <c r="A50" s="60" t="str">
        <v>team 12</v>
      </c>
      <c r="B50" s="60">
        <v>0.40659340659340659</v>
      </c>
      <c r="C50" s="60">
        <v>1.4065934065934065</v>
      </c>
      <c r="E50" s="60" t="str">
        <v>team 32</v>
      </c>
      <c r="F50" s="60">
        <f t="shared" si="32"/>
        <v>3.5697674418604652</v>
      </c>
      <c r="H50" s="60"/>
      <c r="I50" s="60"/>
      <c r="J50" s="60"/>
      <c r="K50" s="60"/>
    </row>
    <row r="51" spans="1:11" x14ac:dyDescent="0.25">
      <c r="A51" s="60" t="str" cm="1">
        <f t="array" ref="A51:C54">IFERROR(P14:R17,"")</f>
        <v>team 14</v>
      </c>
      <c r="B51" s="60">
        <v>0.59677419354838712</v>
      </c>
      <c r="C51" s="60">
        <v>4.596774193548387</v>
      </c>
      <c r="E51" s="60" t="str">
        <v>team 1</v>
      </c>
      <c r="F51" s="60">
        <f t="shared" si="32"/>
        <v>3.5531914893617023</v>
      </c>
      <c r="H51" s="60"/>
      <c r="I51" s="60"/>
      <c r="J51" s="60"/>
      <c r="K51" s="60"/>
    </row>
    <row r="52" spans="1:11" x14ac:dyDescent="0.25">
      <c r="A52" s="60" t="str">
        <v>team 13</v>
      </c>
      <c r="B52" s="60">
        <v>0.51694915254237284</v>
      </c>
      <c r="C52" s="60">
        <v>3.5169491525423728</v>
      </c>
      <c r="E52" s="60" t="str">
        <v>team 8</v>
      </c>
      <c r="F52" s="60">
        <f t="shared" si="32"/>
        <v>3.5395683453237412</v>
      </c>
      <c r="H52" s="60"/>
      <c r="I52" s="60"/>
      <c r="J52" s="60"/>
      <c r="K52" s="60"/>
    </row>
    <row r="53" spans="1:11" x14ac:dyDescent="0.25">
      <c r="A53" s="60" t="str">
        <v>team 16</v>
      </c>
      <c r="B53" s="60">
        <v>0.43877551020408162</v>
      </c>
      <c r="C53" s="60">
        <v>2.4387755102040818</v>
      </c>
      <c r="E53" s="60" t="str">
        <v>team 13</v>
      </c>
      <c r="F53" s="60">
        <f t="shared" si="32"/>
        <v>3.5169491525423728</v>
      </c>
      <c r="H53" s="60"/>
      <c r="I53" s="60"/>
      <c r="J53" s="60"/>
      <c r="K53" s="60"/>
    </row>
    <row r="54" spans="1:11" x14ac:dyDescent="0.25">
      <c r="A54" s="60" t="str">
        <v>team 15</v>
      </c>
      <c r="B54" s="60">
        <v>0.41111111111111109</v>
      </c>
      <c r="C54" s="60">
        <v>1.411111111111111</v>
      </c>
      <c r="E54" s="60" t="str">
        <v>team 10</v>
      </c>
      <c r="F54" s="60">
        <f t="shared" si="32"/>
        <v>3.4666666666666668</v>
      </c>
      <c r="H54" s="61"/>
      <c r="I54" s="61"/>
      <c r="J54" s="61"/>
      <c r="K54" s="61"/>
    </row>
    <row r="55" spans="1:11" x14ac:dyDescent="0.25">
      <c r="A55" s="60" t="str" cm="1">
        <f t="array" ref="A55:C58">IFERROR(A31:C34,"")</f>
        <v>team 17</v>
      </c>
      <c r="B55" s="60">
        <v>0.53982300884955747</v>
      </c>
      <c r="C55" s="60">
        <v>4.5398230088495577</v>
      </c>
      <c r="E55" s="60" t="str">
        <v>team 9</v>
      </c>
      <c r="F55" s="60">
        <f t="shared" si="32"/>
        <v>2.5</v>
      </c>
    </row>
    <row r="56" spans="1:11" x14ac:dyDescent="0.25">
      <c r="A56" s="60" t="str">
        <v>team 19</v>
      </c>
      <c r="B56" s="60">
        <v>0.58620689655172409</v>
      </c>
      <c r="C56" s="60">
        <v>3.5862068965517242</v>
      </c>
      <c r="E56" s="60" t="str">
        <v>team 29</v>
      </c>
      <c r="F56" s="60">
        <f t="shared" si="32"/>
        <v>2.5</v>
      </c>
    </row>
    <row r="57" spans="1:11" x14ac:dyDescent="0.25">
      <c r="A57" s="60" t="str">
        <v>team 20</v>
      </c>
      <c r="B57" s="60">
        <v>0.46788990825688076</v>
      </c>
      <c r="C57" s="60">
        <v>2.4678899082568808</v>
      </c>
      <c r="E57" s="60" t="str">
        <v>team 20</v>
      </c>
      <c r="F57" s="60">
        <f t="shared" si="32"/>
        <v>2.4678899082568808</v>
      </c>
    </row>
    <row r="58" spans="1:11" x14ac:dyDescent="0.25">
      <c r="A58" s="60" t="str">
        <v>team 18</v>
      </c>
      <c r="B58" s="60">
        <v>0.43089430894308944</v>
      </c>
      <c r="C58" s="60">
        <v>1.4308943089430894</v>
      </c>
      <c r="E58" s="60" t="str">
        <v>team 26</v>
      </c>
      <c r="F58" s="60">
        <f t="shared" si="32"/>
        <v>2.4444444444444446</v>
      </c>
    </row>
    <row r="59" spans="1:11" x14ac:dyDescent="0.25">
      <c r="A59" s="60" t="str" cm="1">
        <f t="array" ref="A59:C62">IFERROR(F31:H34,"")</f>
        <v>team 22</v>
      </c>
      <c r="B59" s="60">
        <v>0.70652173913043481</v>
      </c>
      <c r="C59" s="60">
        <v>4.7065217391304346</v>
      </c>
      <c r="E59" s="60" t="str">
        <v>team 7</v>
      </c>
      <c r="F59" s="60">
        <f t="shared" si="32"/>
        <v>2.4433962264150946</v>
      </c>
    </row>
    <row r="60" spans="1:11" x14ac:dyDescent="0.25">
      <c r="A60" s="60" t="str">
        <v>team 24</v>
      </c>
      <c r="B60" s="60">
        <v>0.64367816091954022</v>
      </c>
      <c r="C60" s="60">
        <v>3.6436781609195403</v>
      </c>
      <c r="E60" s="60" t="str">
        <v>team 16</v>
      </c>
      <c r="F60" s="60">
        <f t="shared" si="32"/>
        <v>2.4387755102040818</v>
      </c>
    </row>
    <row r="61" spans="1:11" x14ac:dyDescent="0.25">
      <c r="A61" s="60" t="str">
        <v>team 23</v>
      </c>
      <c r="B61" s="60">
        <v>0.41791044776119401</v>
      </c>
      <c r="C61" s="60">
        <v>2.4179104477611939</v>
      </c>
      <c r="E61" s="60" t="str">
        <v>team 23</v>
      </c>
      <c r="F61" s="60">
        <f t="shared" si="32"/>
        <v>2.4179104477611939</v>
      </c>
    </row>
    <row r="62" spans="1:11" x14ac:dyDescent="0.25">
      <c r="A62" s="60" t="str">
        <v>team 21</v>
      </c>
      <c r="B62" s="60">
        <v>0.12857142857142856</v>
      </c>
      <c r="C62" s="60">
        <v>1.1285714285714286</v>
      </c>
      <c r="E62" s="60" t="str">
        <v>team 3</v>
      </c>
      <c r="F62" s="60">
        <f t="shared" si="32"/>
        <v>2.3728813559322033</v>
      </c>
    </row>
    <row r="63" spans="1:11" x14ac:dyDescent="0.25">
      <c r="A63" s="60" t="str" cm="1">
        <f t="array" ref="A63:C66">IFERROR(K31:M34,"")</f>
        <v>team 27</v>
      </c>
      <c r="B63" s="60">
        <v>0.69512195121951215</v>
      </c>
      <c r="C63" s="60">
        <v>4.6951219512195124</v>
      </c>
      <c r="E63" s="60" t="str">
        <v>team 18</v>
      </c>
      <c r="F63" s="60">
        <f t="shared" si="32"/>
        <v>1.4308943089430894</v>
      </c>
    </row>
    <row r="64" spans="1:11" x14ac:dyDescent="0.25">
      <c r="A64" s="60" t="str">
        <v>team 25</v>
      </c>
      <c r="B64" s="60">
        <v>0.57425742574257421</v>
      </c>
      <c r="C64" s="60">
        <v>3.5742574257425743</v>
      </c>
      <c r="E64" s="60" t="str">
        <v>team 15</v>
      </c>
      <c r="F64" s="60">
        <f t="shared" si="32"/>
        <v>1.411111111111111</v>
      </c>
    </row>
    <row r="65" spans="1:6" x14ac:dyDescent="0.25">
      <c r="A65" s="60" t="str">
        <v>team 26</v>
      </c>
      <c r="B65" s="60">
        <v>0.44444444444444442</v>
      </c>
      <c r="C65" s="60">
        <v>2.4444444444444446</v>
      </c>
      <c r="E65" s="60" t="str">
        <v>team 2</v>
      </c>
      <c r="F65" s="60">
        <f t="shared" si="32"/>
        <v>1.4105263157894736</v>
      </c>
    </row>
    <row r="66" spans="1:6" x14ac:dyDescent="0.25">
      <c r="A66" s="60" t="str">
        <v>team 28</v>
      </c>
      <c r="B66" s="60">
        <v>0.28723404255319152</v>
      </c>
      <c r="C66" s="60">
        <v>1.2872340425531914</v>
      </c>
      <c r="E66" s="60" t="str">
        <v>team 12</v>
      </c>
      <c r="F66" s="60">
        <f t="shared" si="32"/>
        <v>1.4065934065934065</v>
      </c>
    </row>
    <row r="67" spans="1:6" x14ac:dyDescent="0.25">
      <c r="A67" s="60" t="str" cm="1">
        <f t="array" ref="A67:C70">IFERROR(P31:R34,"")</f>
        <v>team 31</v>
      </c>
      <c r="B67" s="60">
        <v>0.62068965517241381</v>
      </c>
      <c r="C67" s="60">
        <v>4.6206896551724137</v>
      </c>
      <c r="E67" s="60" t="str">
        <v>team 6</v>
      </c>
      <c r="F67" s="60">
        <f t="shared" si="32"/>
        <v>1.4021739130434783</v>
      </c>
    </row>
    <row r="68" spans="1:6" x14ac:dyDescent="0.25">
      <c r="A68" s="60" t="str">
        <v>team 32</v>
      </c>
      <c r="B68" s="60">
        <v>0.56976744186046513</v>
      </c>
      <c r="C68" s="60">
        <v>3.5697674418604652</v>
      </c>
      <c r="E68" s="60" t="str">
        <v>team 28</v>
      </c>
      <c r="F68" s="60">
        <f t="shared" si="32"/>
        <v>1.2872340425531914</v>
      </c>
    </row>
    <row r="69" spans="1:6" x14ac:dyDescent="0.25">
      <c r="A69" s="60" t="str">
        <v>team 29</v>
      </c>
      <c r="B69" s="60">
        <v>0.5</v>
      </c>
      <c r="C69" s="60">
        <v>2.5</v>
      </c>
      <c r="E69" s="60" t="str">
        <v>team 30</v>
      </c>
      <c r="F69" s="60">
        <f t="shared" si="32"/>
        <v>1.2727272727272727</v>
      </c>
    </row>
    <row r="70" spans="1:6" x14ac:dyDescent="0.25">
      <c r="A70" s="61" t="str">
        <v>team 30</v>
      </c>
      <c r="B70" s="61">
        <v>0.27272727272727271</v>
      </c>
      <c r="C70" s="61">
        <v>1.2727272727272727</v>
      </c>
      <c r="E70" s="61" t="str">
        <v>team 21</v>
      </c>
      <c r="F70" s="61">
        <f t="shared" si="32"/>
        <v>1.1285714285714286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9" sqref="L19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26"/>
      <c r="B1" s="167" t="s">
        <v>7</v>
      </c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22"/>
    </row>
    <row r="2" spans="1:17" ht="15.75" x14ac:dyDescent="0.25">
      <c r="A2" s="9"/>
      <c r="B2" s="170" t="s">
        <v>8</v>
      </c>
      <c r="C2" s="170"/>
      <c r="D2" s="10"/>
      <c r="E2" s="170" t="s">
        <v>4</v>
      </c>
      <c r="F2" s="170"/>
      <c r="G2" s="10"/>
      <c r="H2" s="170" t="s">
        <v>5</v>
      </c>
      <c r="I2" s="170"/>
      <c r="J2" s="170"/>
      <c r="K2" s="10"/>
      <c r="L2" s="170" t="s">
        <v>1</v>
      </c>
      <c r="M2" s="170"/>
      <c r="N2" s="10"/>
      <c r="O2" s="170" t="s">
        <v>0</v>
      </c>
      <c r="P2" s="170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/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/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/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/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/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/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/>
      <c r="J16" s="18"/>
      <c r="K16" s="15"/>
      <c r="L16" s="21"/>
      <c r="M16" s="12"/>
      <c r="N16" s="12"/>
      <c r="O16" s="168" t="s">
        <v>6</v>
      </c>
      <c r="P16" s="169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/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12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359" priority="2">
      <formula>$B$10&gt;$B$11</formula>
    </cfRule>
  </conditionalFormatting>
  <conditionalFormatting sqref="C11">
    <cfRule type="expression" dxfId="358" priority="1">
      <formula>$B$11&gt;$B$10</formula>
    </cfRule>
  </conditionalFormatting>
  <conditionalFormatting sqref="O10">
    <cfRule type="expression" dxfId="357" priority="4">
      <formula>$P$10&gt;$P$11</formula>
    </cfRule>
  </conditionalFormatting>
  <conditionalFormatting sqref="O11">
    <cfRule type="expression" dxfId="356" priority="3">
      <formula>$P$11&gt;$P$10</formula>
    </cfRule>
  </conditionalFormatting>
  <conditionalFormatting sqref="O17">
    <cfRule type="expression" dxfId="355" priority="10">
      <formula>$P$17&gt;$P$18</formula>
    </cfRule>
  </conditionalFormatting>
  <conditionalFormatting sqref="O18">
    <cfRule type="expression" dxfId="354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workbookViewId="0">
      <selection activeCell="T7" sqref="T7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71" t="s">
        <v>7</v>
      </c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22"/>
    </row>
    <row r="2" spans="1:23" ht="15.75" x14ac:dyDescent="0.25">
      <c r="A2" s="9"/>
      <c r="B2" s="170" t="s">
        <v>8</v>
      </c>
      <c r="C2" s="170"/>
      <c r="D2" s="10"/>
      <c r="E2" s="170" t="s">
        <v>4</v>
      </c>
      <c r="F2" s="170"/>
      <c r="G2" s="10"/>
      <c r="H2" s="170" t="s">
        <v>3</v>
      </c>
      <c r="I2" s="170"/>
      <c r="J2" s="10"/>
      <c r="K2" s="170" t="s">
        <v>5</v>
      </c>
      <c r="L2" s="170"/>
      <c r="M2" s="170"/>
      <c r="N2" s="10"/>
      <c r="O2" s="170" t="s">
        <v>2</v>
      </c>
      <c r="P2" s="170"/>
      <c r="Q2" s="10"/>
      <c r="R2" s="170" t="s">
        <v>1</v>
      </c>
      <c r="S2" s="170"/>
      <c r="T2" s="10"/>
      <c r="U2" s="170" t="s">
        <v>0</v>
      </c>
      <c r="V2" s="170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/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/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/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/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/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/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/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/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/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/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/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/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/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/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/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/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/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/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/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/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/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/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/>
      <c r="M29" s="18"/>
      <c r="N29" s="13"/>
      <c r="O29" s="21"/>
      <c r="P29" s="12"/>
      <c r="Q29" s="16"/>
      <c r="R29" s="21"/>
      <c r="S29" s="12"/>
      <c r="T29" s="12"/>
      <c r="U29" s="168" t="s">
        <v>6</v>
      </c>
      <c r="V29" s="169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/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/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/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/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  <row r="35" spans="1:23" x14ac:dyDescent="0.25">
      <c r="Q35" s="12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353" priority="2">
      <formula>$B$18&gt;$B$19</formula>
    </cfRule>
  </conditionalFormatting>
  <conditionalFormatting sqref="C19">
    <cfRule type="expression" dxfId="352" priority="1">
      <formula>$B$19&gt;$B$18</formula>
    </cfRule>
  </conditionalFormatting>
  <conditionalFormatting sqref="U18">
    <cfRule type="expression" dxfId="351" priority="6">
      <formula>$V$18&gt;$V$19</formula>
    </cfRule>
  </conditionalFormatting>
  <conditionalFormatting sqref="U19">
    <cfRule type="expression" dxfId="350" priority="4">
      <formula>$V$19&gt;$V$18</formula>
    </cfRule>
  </conditionalFormatting>
  <conditionalFormatting sqref="U30">
    <cfRule type="expression" dxfId="349" priority="5">
      <formula>$V$30&gt;$V$31</formula>
    </cfRule>
  </conditionalFormatting>
  <conditionalFormatting sqref="U31">
    <cfRule type="expression" dxfId="348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tabSelected="1" workbookViewId="0">
      <selection activeCell="E19" sqref="D19:E1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SCHEDULE</vt:lpstr>
      <vt:lpstr>TOURNAMENT DETAILS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2024-01-16T05:26:59Z</dcterms:modified>
</cp:coreProperties>
</file>