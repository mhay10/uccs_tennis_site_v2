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maxh\uccs_tennis_site_v2\excel_sheet\"/>
    </mc:Choice>
  </mc:AlternateContent>
  <xr:revisionPtr revIDLastSave="0" documentId="13_ncr:1_{CD142659-5FF9-4127-8717-BDCAC624C35A}" xr6:coauthVersionLast="47" xr6:coauthVersionMax="47" xr10:uidLastSave="{00000000-0000-0000-0000-000000000000}"/>
  <bookViews>
    <workbookView xWindow="29610" yWindow="-120" windowWidth="28110" windowHeight="16440" tabRatio="725" xr2:uid="{D05C08A3-E984-44FE-BC9D-D4CF72F814FD}"/>
  </bookViews>
  <sheets>
    <sheet name="Courts &amp; Match Order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4" l="1"/>
  <c r="I2" i="14"/>
  <c r="D23" i="14"/>
  <c r="D20" i="14"/>
  <c r="D17" i="14"/>
  <c r="D14" i="14"/>
  <c r="D11" i="14"/>
  <c r="D8" i="14"/>
  <c r="O31" i="12" l="1"/>
  <c r="I31" i="12"/>
  <c r="O30" i="12"/>
  <c r="I30" i="12"/>
  <c r="R27" i="12"/>
  <c r="F27" i="12"/>
  <c r="O23" i="12"/>
  <c r="I23" i="12"/>
  <c r="O22" i="12"/>
  <c r="I22" i="12"/>
  <c r="O15" i="12"/>
  <c r="I15" i="12" s="1"/>
  <c r="O14" i="12"/>
  <c r="O7" i="12"/>
  <c r="I7" i="12"/>
  <c r="O6" i="12"/>
  <c r="I6" i="12" s="1"/>
  <c r="O31" i="11"/>
  <c r="I31" i="11"/>
  <c r="O30" i="11"/>
  <c r="I30" i="11"/>
  <c r="F27" i="11"/>
  <c r="O23" i="11"/>
  <c r="I22" i="11" s="1"/>
  <c r="I23" i="11"/>
  <c r="O22" i="11"/>
  <c r="O15" i="11"/>
  <c r="I15" i="11"/>
  <c r="O14" i="11"/>
  <c r="I14" i="11" s="1"/>
  <c r="O7" i="11"/>
  <c r="I7" i="11"/>
  <c r="O6" i="11"/>
  <c r="I6" i="11"/>
  <c r="O31" i="10"/>
  <c r="I31" i="10" s="1"/>
  <c r="O30" i="10"/>
  <c r="I30" i="10"/>
  <c r="O23" i="10"/>
  <c r="I23" i="10"/>
  <c r="O22" i="10"/>
  <c r="I22" i="10"/>
  <c r="O15" i="10"/>
  <c r="I15" i="10" s="1"/>
  <c r="O14" i="10"/>
  <c r="I14" i="10"/>
  <c r="O7" i="10"/>
  <c r="I7" i="10"/>
  <c r="O6" i="10"/>
  <c r="I6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F26" i="12" l="1"/>
  <c r="R26" i="12"/>
  <c r="I14" i="12"/>
  <c r="F11" i="12" s="1"/>
  <c r="C18" i="12" s="1"/>
  <c r="R10" i="12"/>
  <c r="F10" i="12"/>
  <c r="R11" i="12"/>
  <c r="U30" i="12" s="1"/>
  <c r="C19" i="12"/>
  <c r="U31" i="12"/>
  <c r="U19" i="12"/>
  <c r="F11" i="11"/>
  <c r="R11" i="11"/>
  <c r="F10" i="11"/>
  <c r="C18" i="11" s="1"/>
  <c r="F26" i="11"/>
  <c r="R26" i="11"/>
  <c r="R10" i="11"/>
  <c r="U30" i="11" s="1"/>
  <c r="R27" i="11"/>
  <c r="C19" i="11"/>
  <c r="F27" i="10"/>
  <c r="F11" i="10"/>
  <c r="R11" i="10"/>
  <c r="F10" i="10"/>
  <c r="C18" i="10" s="1"/>
  <c r="F26" i="10"/>
  <c r="R26" i="10"/>
  <c r="R10" i="10"/>
  <c r="R27" i="10"/>
  <c r="U19" i="10" s="1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U18" i="12" l="1"/>
  <c r="U19" i="11"/>
  <c r="U31" i="11"/>
  <c r="U18" i="11"/>
  <c r="C19" i="10"/>
  <c r="U31" i="10"/>
  <c r="U30" i="10"/>
  <c r="U18" i="10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<sst xmlns="http://schemas.openxmlformats.org/spreadsheetml/2006/main" count="368" uniqueCount="137">
  <si>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</si>
  <si>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</si>
  <si>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</si>
  <si>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</si>
  <si>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</si>
  <si>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</si>
  <si>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</si>
  <si>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</si>
  <si>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</si>
  <si>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</si>
  <si>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</si>
  <si>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</si>
  <si>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</si>
  <si>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</si>
  <si>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</si>
  <si>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</si>
  <si>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</si>
  <si>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</si>
  <si>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</si>
  <si>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</si>
  <si>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</si>
  <si>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</si>
  <si>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</si>
  <si>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</si>
  <si>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</si>
  <si>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</si>
  <si>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</si>
  <si>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</si>
  <si>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</si>
  <si>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</si>
  <si>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</si>
  <si>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</si>
  <si>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</si>
  <si>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</si>
  <si>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</si>
  <si>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</si>
  <si>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</si>
  <si>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</si>
  <si>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</si>
  <si>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</si>
  <si>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</si>
  <si>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</si>
  <si>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</si>
  <si>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</si>
  <si>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</si>
  <si>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</si>
  <si>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</si>
  <si>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</si>
  <si>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</si>
  <si>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</si>
  <si>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</si>
  <si>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</si>
  <si>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</si>
  <si>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</si>
  <si>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</si>
  <si>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</si>
  <si>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</si>
  <si>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</si>
  <si>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</si>
  <si>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</si>
  <si>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</si>
  <si>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</si>
  <si>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</si>
  <si>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</si>
  <si>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</si>
  <si>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</si>
  <si>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</si>
  <si>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</si>
  <si>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</si>
  <si>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</si>
  <si>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</si>
  <si>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</si>
  <si>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</si>
  <si>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</si>
  <si>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</si>
  <si>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</si>
  <si>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</si>
  <si>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</si>
  <si>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</si>
  <si>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</si>
  <si>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</si>
  <si>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</si>
  <si>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</si>
  <si>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</si>
  <si>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</si>
  <si>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</si>
  <si>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</si>
  <si>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</si>
  <si>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</si>
  <si>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</si>
  <si>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</si>
  <si>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</si>
  <si>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</si>
  <si>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</si>
  <si>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</si>
  <si>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</si>
  <si>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</si>
  <si>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</si>
  <si>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</si>
  <si>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</si>
  <si>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</si>
  <si>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</si>
  <si>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</si>
  <si>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</si>
  <si>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</si>
  <si>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</si>
  <si>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</si>
  <si>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</si>
  <si>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</si>
  <si>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</si>
  <si>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</si>
  <si>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</si>
  <si>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</si>
  <si>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</si>
  <si>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</si>
  <si>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</si>
  <si>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</si>
  <si>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</si>
  <si>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GOLD BRACKET</t>
  </si>
  <si>
    <t>SILVER BRACKET</t>
  </si>
  <si>
    <t>BRONZE BRACKET</t>
  </si>
  <si>
    <t>bye</t>
  </si>
  <si>
    <t>Max Hay, UCCS Club Tennis</t>
  </si>
  <si>
    <t xml:space="preserve"> 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</si>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</sst>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18" fontId="2" fillId="29" borderId="9" xfId="0" applyNumberFormat="1" applyFont="1" applyFill="1" applyBorder="1" applyAlignment="1">
      <alignment horizontal="left"/>
    </xf>
    <xf numFmtId="18" fontId="2" fillId="29" borderId="6" xfId="0" applyNumberFormat="1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>
    <tabColor rgb="FFFFFF00"/>
  </sheetPr>
  <dimension ref="B2:M37"/>
  <sheetViews>
    <sheetView tabSelected="1" zoomScaleNormal="100" workbookViewId="0">
      <selection activeCell="H11" sqref="H11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69" t="s">
        <v>126</v>
      </c>
      <c r="C2" s="170"/>
      <c r="D2" s="170"/>
      <c r="E2" s="171"/>
      <c r="G2" s="112" t="s">
        <v>127</v>
      </c>
      <c r="I2" s="127">
        <f ca="1">NOW()</f>
        <v>45305.615260648148</v>
      </c>
      <c r="J2" s="127"/>
    </row>
    <row r="3" spans="2:13" x14ac:dyDescent="0.25">
      <c r="B3" s="128" t="s">
        <v>130</v>
      </c>
      <c r="C3" s="121" t="s">
        <v>125</v>
      </c>
      <c r="D3" s="122">
        <v>0.5</v>
      </c>
      <c r="E3" s="123"/>
    </row>
    <row r="4" spans="2:13" ht="15" customHeight="1" x14ac:dyDescent="0.25">
      <c r="B4" s="129"/>
      <c r="C4" s="115"/>
      <c r="E4" s="113"/>
      <c r="G4" s="114"/>
      <c r="H4" s="117" t="s">
        <v>129</v>
      </c>
      <c r="I4" s="116"/>
      <c r="K4" s="118"/>
      <c r="L4" s="119" t="s">
        <v>128</v>
      </c>
      <c r="M4" s="120"/>
    </row>
    <row r="5" spans="2:13" x14ac:dyDescent="0.25">
      <c r="B5" s="130"/>
      <c r="C5" s="121" t="s">
        <v>124</v>
      </c>
      <c r="D5" s="122">
        <f>D3+2/24</f>
        <v>0.58333333333333337</v>
      </c>
      <c r="E5" s="123"/>
    </row>
    <row r="6" spans="2:13" x14ac:dyDescent="0.25">
      <c r="B6" s="124" t="s">
        <v>131</v>
      </c>
      <c r="C6" s="121" t="s">
        <v>125</v>
      </c>
      <c r="D6" s="122">
        <v>0.875</v>
      </c>
      <c r="E6" s="123"/>
    </row>
    <row r="7" spans="2:13" x14ac:dyDescent="0.25">
      <c r="B7" s="125"/>
      <c r="C7" s="115"/>
      <c r="E7" s="113"/>
    </row>
    <row r="8" spans="2:13" x14ac:dyDescent="0.25">
      <c r="B8" s="126"/>
      <c r="C8" s="121" t="s">
        <v>124</v>
      </c>
      <c r="D8" s="122">
        <f>D6+2/24</f>
        <v>0.95833333333333337</v>
      </c>
      <c r="E8" s="123"/>
    </row>
    <row r="9" spans="2:13" x14ac:dyDescent="0.25">
      <c r="B9" s="124" t="s">
        <v>132</v>
      </c>
      <c r="C9" s="121" t="s">
        <v>125</v>
      </c>
      <c r="D9" s="122"/>
      <c r="E9" s="123"/>
    </row>
    <row r="10" spans="2:13" x14ac:dyDescent="0.25">
      <c r="B10" s="125"/>
      <c r="C10" s="115"/>
      <c r="E10" s="113"/>
    </row>
    <row r="11" spans="2:13" x14ac:dyDescent="0.25">
      <c r="B11" s="126"/>
      <c r="C11" s="121" t="s">
        <v>124</v>
      </c>
      <c r="D11" s="122">
        <f>D9+2/24</f>
        <v>8.3333333333333329E-2</v>
      </c>
      <c r="E11" s="123"/>
    </row>
    <row r="12" spans="2:13" x14ac:dyDescent="0.25">
      <c r="B12" s="124" t="s">
        <v>133</v>
      </c>
      <c r="C12" s="121" t="s">
        <v>125</v>
      </c>
      <c r="D12" s="122"/>
      <c r="E12" s="123"/>
    </row>
    <row r="13" spans="2:13" x14ac:dyDescent="0.25">
      <c r="B13" s="125"/>
      <c r="C13" s="115"/>
      <c r="E13" s="113"/>
    </row>
    <row r="14" spans="2:13" x14ac:dyDescent="0.25">
      <c r="B14" s="126"/>
      <c r="C14" s="121" t="s">
        <v>124</v>
      </c>
      <c r="D14" s="122">
        <f>D12+2/24</f>
        <v>8.3333333333333329E-2</v>
      </c>
      <c r="E14" s="123"/>
    </row>
    <row r="15" spans="2:13" x14ac:dyDescent="0.25">
      <c r="B15" s="124" t="s">
        <v>134</v>
      </c>
      <c r="C15" s="121" t="s">
        <v>125</v>
      </c>
      <c r="D15" s="122"/>
      <c r="E15" s="123"/>
    </row>
    <row r="16" spans="2:13" ht="15" customHeight="1" x14ac:dyDescent="0.25">
      <c r="B16" s="125"/>
      <c r="C16" s="115"/>
      <c r="E16" s="113"/>
    </row>
    <row r="17" spans="2:5" ht="15" customHeight="1" x14ac:dyDescent="0.25">
      <c r="B17" s="126"/>
      <c r="C17" s="121" t="s">
        <v>124</v>
      </c>
      <c r="D17" s="122">
        <f>D15+2/24</f>
        <v>8.3333333333333329E-2</v>
      </c>
      <c r="E17" s="123"/>
    </row>
    <row r="18" spans="2:5" x14ac:dyDescent="0.25">
      <c r="B18" s="124" t="s">
        <v>135</v>
      </c>
      <c r="C18" s="121" t="s">
        <v>125</v>
      </c>
      <c r="D18" s="122"/>
      <c r="E18" s="123"/>
    </row>
    <row r="19" spans="2:5" x14ac:dyDescent="0.25">
      <c r="B19" s="125"/>
      <c r="C19" s="115"/>
      <c r="E19" s="113"/>
    </row>
    <row r="20" spans="2:5" ht="15" customHeight="1" x14ac:dyDescent="0.25">
      <c r="B20" s="126"/>
      <c r="C20" s="121" t="s">
        <v>124</v>
      </c>
      <c r="D20" s="122">
        <f>D18+2/24</f>
        <v>8.3333333333333329E-2</v>
      </c>
      <c r="E20" s="123"/>
    </row>
    <row r="21" spans="2:5" x14ac:dyDescent="0.25">
      <c r="B21" s="124" t="s">
        <v>136</v>
      </c>
      <c r="C21" s="121" t="s">
        <v>125</v>
      </c>
      <c r="D21" s="122"/>
      <c r="E21" s="123"/>
    </row>
    <row r="22" spans="2:5" x14ac:dyDescent="0.25">
      <c r="B22" s="125"/>
      <c r="C22" s="115"/>
      <c r="E22" s="113"/>
    </row>
    <row r="23" spans="2:5" x14ac:dyDescent="0.25">
      <c r="B23" s="126"/>
      <c r="C23" s="121" t="s">
        <v>124</v>
      </c>
      <c r="D23" s="122">
        <f>D21+2/24</f>
        <v>8.3333333333333329E-2</v>
      </c>
      <c r="E23" s="123"/>
    </row>
    <row r="37" spans="7:7" x14ac:dyDescent="0.25">
      <c r="G37" s="58"/>
    </row>
  </sheetData>
  <mergeCells count="23">
    <mergeCell ref="D11:E11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14:E14"/>
    <mergeCell ref="D12:E12"/>
    <mergeCell ref="D9:E9"/>
    <mergeCell ref="D8:E8"/>
    <mergeCell ref="D6:E6"/>
    <mergeCell ref="D5:E5"/>
    <mergeCell ref="D3:E3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G23" sqref="G23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1" t="s">
        <v>96</v>
      </c>
      <c r="B1" s="132"/>
      <c r="C1" s="133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34" t="s">
        <v>12</v>
      </c>
      <c r="B1" s="134"/>
      <c r="C1" s="134" t="s">
        <v>13</v>
      </c>
      <c r="D1" s="134"/>
      <c r="E1" s="134" t="s">
        <v>14</v>
      </c>
      <c r="F1" s="134"/>
      <c r="G1" s="134" t="s">
        <v>15</v>
      </c>
      <c r="H1" s="134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34" t="s">
        <v>16</v>
      </c>
      <c r="B6" s="134"/>
      <c r="C6" s="134" t="s">
        <v>17</v>
      </c>
      <c r="D6" s="134"/>
      <c r="E6" s="134" t="s">
        <v>18</v>
      </c>
      <c r="F6" s="134"/>
      <c r="G6" s="134" t="s">
        <v>19</v>
      </c>
      <c r="H6" s="134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35" t="s">
        <v>117</v>
      </c>
      <c r="C1" s="135"/>
      <c r="D1" s="135"/>
    </row>
    <row r="2" spans="2:10" ht="18" customHeight="1" x14ac:dyDescent="0.25">
      <c r="C2" s="136"/>
      <c r="D2" s="136"/>
      <c r="E2" s="136"/>
      <c r="F2" s="136"/>
    </row>
    <row r="3" spans="2:10" ht="15.75" thickBot="1" x14ac:dyDescent="0.3"/>
    <row r="4" spans="2:10" ht="16.5" thickBot="1" x14ac:dyDescent="0.3">
      <c r="B4" s="137"/>
      <c r="C4" s="146"/>
      <c r="D4" s="147"/>
    </row>
    <row r="5" spans="2:10" ht="16.5" thickBot="1" x14ac:dyDescent="0.3">
      <c r="B5" s="138"/>
      <c r="C5" s="49"/>
      <c r="D5" s="50"/>
      <c r="E5" s="144"/>
      <c r="F5" s="145"/>
    </row>
    <row r="6" spans="2:10" ht="16.5" thickBot="1" x14ac:dyDescent="0.3">
      <c r="B6" s="138"/>
      <c r="C6" s="45"/>
      <c r="D6" s="46"/>
      <c r="E6" s="51"/>
      <c r="F6" s="52"/>
      <c r="G6" s="142"/>
      <c r="H6" s="143"/>
    </row>
    <row r="7" spans="2:10" ht="16.5" thickBot="1" x14ac:dyDescent="0.3">
      <c r="B7" s="139"/>
      <c r="C7" s="57"/>
      <c r="D7" s="40"/>
      <c r="E7" s="53"/>
      <c r="F7" s="40"/>
      <c r="G7" s="43"/>
      <c r="H7" s="54"/>
      <c r="I7" s="140"/>
      <c r="J7" s="141"/>
    </row>
    <row r="9" spans="2:10" ht="15" customHeight="1" x14ac:dyDescent="0.25">
      <c r="E9" t="s">
        <v>112</v>
      </c>
      <c r="F9" s="110"/>
      <c r="G9" t="s">
        <v>122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W18" sqref="W18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37" t="s">
        <v>12</v>
      </c>
      <c r="C2" s="148" t="s">
        <v>48</v>
      </c>
      <c r="D2" s="149"/>
      <c r="L2" s="137" t="s">
        <v>16</v>
      </c>
      <c r="M2" s="148" t="s">
        <v>64</v>
      </c>
      <c r="N2" s="149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38"/>
      <c r="C3" s="49">
        <v>26</v>
      </c>
      <c r="D3" s="50">
        <v>6</v>
      </c>
      <c r="E3" s="150" t="s">
        <v>49</v>
      </c>
      <c r="F3" s="151"/>
      <c r="L3" s="138"/>
      <c r="M3" s="49">
        <v>30</v>
      </c>
      <c r="N3" s="50">
        <v>25</v>
      </c>
      <c r="O3" s="150" t="s">
        <v>65</v>
      </c>
      <c r="P3" s="151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38"/>
      <c r="C4" s="45">
        <v>24</v>
      </c>
      <c r="D4" s="46">
        <v>9</v>
      </c>
      <c r="E4" s="47">
        <v>20</v>
      </c>
      <c r="F4" s="48">
        <v>26</v>
      </c>
      <c r="G4" s="152" t="s">
        <v>50</v>
      </c>
      <c r="H4" s="153"/>
      <c r="L4" s="138"/>
      <c r="M4" s="45">
        <v>5</v>
      </c>
      <c r="N4" s="46">
        <v>23</v>
      </c>
      <c r="O4" s="47">
        <v>8</v>
      </c>
      <c r="P4" s="48">
        <v>16</v>
      </c>
      <c r="Q4" s="152" t="s">
        <v>66</v>
      </c>
      <c r="R4" s="153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39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54" t="s">
        <v>51</v>
      </c>
      <c r="J5" s="155"/>
      <c r="L5" s="139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54" t="s">
        <v>67</v>
      </c>
      <c r="T5" s="155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37" t="s">
        <v>13</v>
      </c>
      <c r="C8" s="148" t="s">
        <v>52</v>
      </c>
      <c r="D8" s="149"/>
      <c r="E8" s="38"/>
      <c r="F8" s="38"/>
      <c r="G8" s="38"/>
      <c r="H8" s="38"/>
      <c r="I8" s="38"/>
      <c r="J8" s="38"/>
      <c r="L8" s="137" t="s">
        <v>17</v>
      </c>
      <c r="M8" s="148" t="s">
        <v>68</v>
      </c>
      <c r="N8" s="149"/>
      <c r="O8" s="38"/>
      <c r="P8" s="38"/>
      <c r="Q8" s="38"/>
      <c r="R8" s="38"/>
      <c r="S8" s="38"/>
      <c r="T8" s="38"/>
    </row>
    <row r="9" spans="2:30" ht="16.5" thickBot="1" x14ac:dyDescent="0.3">
      <c r="B9" s="138"/>
      <c r="C9" s="49">
        <v>9</v>
      </c>
      <c r="D9" s="50">
        <v>4</v>
      </c>
      <c r="E9" s="150" t="s">
        <v>53</v>
      </c>
      <c r="F9" s="151"/>
      <c r="G9" s="38"/>
      <c r="H9" s="38"/>
      <c r="I9" s="38"/>
      <c r="J9" s="38"/>
      <c r="L9" s="138"/>
      <c r="M9" s="49">
        <v>3</v>
      </c>
      <c r="N9" s="50">
        <v>24</v>
      </c>
      <c r="O9" s="150" t="s">
        <v>69</v>
      </c>
      <c r="P9" s="151"/>
      <c r="Q9" s="38"/>
      <c r="R9" s="38"/>
      <c r="S9" s="38"/>
      <c r="T9" s="38"/>
    </row>
    <row r="10" spans="2:30" ht="16.5" thickBot="1" x14ac:dyDescent="0.3">
      <c r="B10" s="138"/>
      <c r="C10" s="45">
        <v>20</v>
      </c>
      <c r="D10" s="46">
        <v>17</v>
      </c>
      <c r="E10" s="47">
        <v>10</v>
      </c>
      <c r="F10" s="48">
        <v>19</v>
      </c>
      <c r="G10" s="152" t="s">
        <v>54</v>
      </c>
      <c r="H10" s="153"/>
      <c r="I10" s="38"/>
      <c r="J10" s="38"/>
      <c r="L10" s="138"/>
      <c r="M10" s="45">
        <v>3</v>
      </c>
      <c r="N10" s="46">
        <v>10</v>
      </c>
      <c r="O10" s="47">
        <v>15</v>
      </c>
      <c r="P10" s="48">
        <v>16</v>
      </c>
      <c r="Q10" s="152" t="s">
        <v>70</v>
      </c>
      <c r="R10" s="153"/>
      <c r="S10" s="38"/>
      <c r="T10" s="38"/>
    </row>
    <row r="11" spans="2:30" ht="16.5" thickBot="1" x14ac:dyDescent="0.3">
      <c r="B11" s="139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54" t="s">
        <v>55</v>
      </c>
      <c r="J11" s="155"/>
      <c r="L11" s="139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54" t="s">
        <v>71</v>
      </c>
      <c r="T11" s="155"/>
    </row>
    <row r="13" spans="2:30" ht="15.75" thickBot="1" x14ac:dyDescent="0.3"/>
    <row r="14" spans="2:30" ht="16.5" customHeight="1" thickBot="1" x14ac:dyDescent="0.3">
      <c r="B14" s="137" t="s">
        <v>14</v>
      </c>
      <c r="C14" s="148" t="s">
        <v>56</v>
      </c>
      <c r="D14" s="149"/>
      <c r="E14" s="38"/>
      <c r="F14" s="38"/>
      <c r="G14" s="38"/>
      <c r="H14" s="38"/>
      <c r="I14" s="38"/>
      <c r="J14" s="38"/>
      <c r="L14" s="137" t="s">
        <v>18</v>
      </c>
      <c r="M14" s="148" t="s">
        <v>72</v>
      </c>
      <c r="N14" s="149"/>
      <c r="O14" s="38"/>
      <c r="P14" s="38"/>
      <c r="Q14" s="38"/>
      <c r="R14" s="38"/>
      <c r="S14" s="38"/>
      <c r="T14" s="38"/>
    </row>
    <row r="15" spans="2:30" ht="16.5" thickBot="1" x14ac:dyDescent="0.3">
      <c r="B15" s="138"/>
      <c r="C15" s="49">
        <v>20</v>
      </c>
      <c r="D15" s="50">
        <v>26</v>
      </c>
      <c r="E15" s="150" t="s">
        <v>57</v>
      </c>
      <c r="F15" s="151"/>
      <c r="G15" s="38"/>
      <c r="H15" s="38"/>
      <c r="I15" s="38"/>
      <c r="J15" s="38"/>
      <c r="L15" s="138"/>
      <c r="M15" s="49">
        <v>12</v>
      </c>
      <c r="N15" s="50">
        <v>9</v>
      </c>
      <c r="O15" s="150" t="s">
        <v>73</v>
      </c>
      <c r="P15" s="151"/>
      <c r="Q15" s="38"/>
      <c r="R15" s="38"/>
      <c r="S15" s="38"/>
      <c r="T15" s="38"/>
    </row>
    <row r="16" spans="2:30" ht="16.5" thickBot="1" x14ac:dyDescent="0.3">
      <c r="B16" s="138"/>
      <c r="C16" s="45">
        <v>12</v>
      </c>
      <c r="D16" s="46">
        <v>21</v>
      </c>
      <c r="E16" s="47">
        <v>5</v>
      </c>
      <c r="F16" s="48">
        <v>24</v>
      </c>
      <c r="G16" s="152" t="s">
        <v>58</v>
      </c>
      <c r="H16" s="153"/>
      <c r="I16" s="38"/>
      <c r="J16" s="38"/>
      <c r="L16" s="138"/>
      <c r="M16" s="45">
        <v>18</v>
      </c>
      <c r="N16" s="46">
        <v>20</v>
      </c>
      <c r="O16" s="47">
        <v>3</v>
      </c>
      <c r="P16" s="48">
        <v>14</v>
      </c>
      <c r="Q16" s="152" t="s">
        <v>74</v>
      </c>
      <c r="R16" s="153"/>
      <c r="S16" s="38"/>
      <c r="T16" s="38"/>
    </row>
    <row r="17" spans="2:20" ht="16.5" thickBot="1" x14ac:dyDescent="0.3">
      <c r="B17" s="139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54" t="s">
        <v>59</v>
      </c>
      <c r="J17" s="155"/>
      <c r="L17" s="139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54" t="s">
        <v>75</v>
      </c>
      <c r="T17" s="155"/>
    </row>
    <row r="19" spans="2:20" ht="15.75" thickBot="1" x14ac:dyDescent="0.3"/>
    <row r="20" spans="2:20" ht="16.5" customHeight="1" thickBot="1" x14ac:dyDescent="0.3">
      <c r="B20" s="137" t="s">
        <v>15</v>
      </c>
      <c r="C20" s="148" t="s">
        <v>60</v>
      </c>
      <c r="D20" s="149"/>
      <c r="E20" s="38"/>
      <c r="F20" s="38"/>
      <c r="G20" s="38"/>
      <c r="H20" s="38"/>
      <c r="I20" s="38"/>
      <c r="J20" s="38"/>
      <c r="L20" s="137" t="s">
        <v>19</v>
      </c>
      <c r="M20" s="148" t="s">
        <v>77</v>
      </c>
      <c r="N20" s="149"/>
      <c r="O20" s="38"/>
      <c r="P20" s="38"/>
      <c r="Q20" s="38"/>
      <c r="R20" s="38"/>
      <c r="S20" s="38"/>
      <c r="T20" s="38"/>
    </row>
    <row r="21" spans="2:20" ht="16.5" thickBot="1" x14ac:dyDescent="0.3">
      <c r="B21" s="138"/>
      <c r="C21" s="49">
        <v>21</v>
      </c>
      <c r="D21" s="50">
        <v>24</v>
      </c>
      <c r="E21" s="150" t="s">
        <v>61</v>
      </c>
      <c r="F21" s="151"/>
      <c r="G21" s="38"/>
      <c r="H21" s="38"/>
      <c r="I21" s="38"/>
      <c r="J21" s="38"/>
      <c r="L21" s="138"/>
      <c r="M21" s="49">
        <v>14</v>
      </c>
      <c r="N21" s="50">
        <v>9</v>
      </c>
      <c r="O21" s="150" t="s">
        <v>79</v>
      </c>
      <c r="P21" s="151"/>
      <c r="Q21" s="38"/>
      <c r="R21" s="38"/>
      <c r="S21" s="38"/>
      <c r="T21" s="38"/>
    </row>
    <row r="22" spans="2:20" ht="16.5" thickBot="1" x14ac:dyDescent="0.3">
      <c r="B22" s="138"/>
      <c r="C22" s="45">
        <v>20</v>
      </c>
      <c r="D22" s="46">
        <v>5</v>
      </c>
      <c r="E22" s="47">
        <v>29</v>
      </c>
      <c r="F22" s="48">
        <v>18</v>
      </c>
      <c r="G22" s="152" t="s">
        <v>62</v>
      </c>
      <c r="H22" s="153"/>
      <c r="I22" s="38"/>
      <c r="J22" s="38"/>
      <c r="L22" s="138"/>
      <c r="M22" s="45">
        <v>19</v>
      </c>
      <c r="N22" s="46">
        <v>24</v>
      </c>
      <c r="O22" s="47">
        <v>6</v>
      </c>
      <c r="P22" s="48">
        <v>22</v>
      </c>
      <c r="Q22" s="152" t="s">
        <v>81</v>
      </c>
      <c r="R22" s="153"/>
      <c r="S22" s="38"/>
      <c r="T22" s="38"/>
    </row>
    <row r="23" spans="2:20" ht="16.5" thickBot="1" x14ac:dyDescent="0.3">
      <c r="B23" s="139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54" t="s">
        <v>63</v>
      </c>
      <c r="J23" s="155"/>
      <c r="L23" s="139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54" t="s">
        <v>83</v>
      </c>
      <c r="T23" s="155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Y15" sqref="Y15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58" t="s">
        <v>118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22"/>
    </row>
    <row r="2" spans="1:23" ht="15.75" x14ac:dyDescent="0.25">
      <c r="A2" s="9"/>
      <c r="B2" s="159" t="s">
        <v>8</v>
      </c>
      <c r="C2" s="159"/>
      <c r="D2" s="10"/>
      <c r="E2" s="159" t="s">
        <v>4</v>
      </c>
      <c r="F2" s="159"/>
      <c r="G2" s="10"/>
      <c r="H2" s="159" t="s">
        <v>3</v>
      </c>
      <c r="I2" s="159"/>
      <c r="J2" s="10"/>
      <c r="K2" s="159" t="s">
        <v>5</v>
      </c>
      <c r="L2" s="159"/>
      <c r="M2" s="159"/>
      <c r="N2" s="10"/>
      <c r="O2" s="159" t="s">
        <v>2</v>
      </c>
      <c r="P2" s="159"/>
      <c r="Q2" s="10"/>
      <c r="R2" s="159" t="s">
        <v>1</v>
      </c>
      <c r="S2" s="159"/>
      <c r="T2" s="10"/>
      <c r="U2" s="159" t="s">
        <v>0</v>
      </c>
      <c r="V2" s="159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123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123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123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123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123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123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123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123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123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123</v>
      </c>
      <c r="M29" s="18"/>
      <c r="N29" s="13"/>
      <c r="O29" s="21"/>
      <c r="P29" s="12"/>
      <c r="Q29" s="16"/>
      <c r="R29" s="21"/>
      <c r="S29" s="12"/>
      <c r="T29" s="12"/>
      <c r="U29" s="156" t="s">
        <v>6</v>
      </c>
      <c r="V29" s="157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123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58" t="s">
        <v>119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22"/>
    </row>
    <row r="2" spans="1:23" ht="15.75" x14ac:dyDescent="0.25">
      <c r="A2" s="9"/>
      <c r="B2" s="159" t="s">
        <v>8</v>
      </c>
      <c r="C2" s="159"/>
      <c r="D2" s="10"/>
      <c r="E2" s="159" t="s">
        <v>4</v>
      </c>
      <c r="F2" s="159"/>
      <c r="G2" s="10"/>
      <c r="H2" s="159" t="s">
        <v>3</v>
      </c>
      <c r="I2" s="159"/>
      <c r="J2" s="10"/>
      <c r="K2" s="159" t="s">
        <v>5</v>
      </c>
      <c r="L2" s="159"/>
      <c r="M2" s="159"/>
      <c r="N2" s="10"/>
      <c r="O2" s="159" t="s">
        <v>2</v>
      </c>
      <c r="P2" s="159"/>
      <c r="Q2" s="10"/>
      <c r="R2" s="159" t="s">
        <v>1</v>
      </c>
      <c r="S2" s="159"/>
      <c r="T2" s="10"/>
      <c r="U2" s="159" t="s">
        <v>0</v>
      </c>
      <c r="V2" s="159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123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123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123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123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123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123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123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123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123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123</v>
      </c>
      <c r="M29" s="18"/>
      <c r="N29" s="13"/>
      <c r="O29" s="21"/>
      <c r="P29" s="12"/>
      <c r="Q29" s="16"/>
      <c r="R29" s="21"/>
      <c r="S29" s="12"/>
      <c r="T29" s="12"/>
      <c r="U29" s="156" t="s">
        <v>6</v>
      </c>
      <c r="V29" s="157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123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58" t="s">
        <v>120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22"/>
    </row>
    <row r="2" spans="1:23" ht="15.75" x14ac:dyDescent="0.25">
      <c r="A2" s="9"/>
      <c r="B2" s="159" t="s">
        <v>8</v>
      </c>
      <c r="C2" s="159"/>
      <c r="D2" s="10"/>
      <c r="E2" s="159" t="s">
        <v>4</v>
      </c>
      <c r="F2" s="159"/>
      <c r="G2" s="10"/>
      <c r="H2" s="159" t="s">
        <v>3</v>
      </c>
      <c r="I2" s="159"/>
      <c r="J2" s="10"/>
      <c r="K2" s="159" t="s">
        <v>5</v>
      </c>
      <c r="L2" s="159"/>
      <c r="M2" s="159"/>
      <c r="N2" s="10"/>
      <c r="O2" s="159" t="s">
        <v>2</v>
      </c>
      <c r="P2" s="159"/>
      <c r="Q2" s="10"/>
      <c r="R2" s="159" t="s">
        <v>1</v>
      </c>
      <c r="S2" s="159"/>
      <c r="T2" s="10"/>
      <c r="U2" s="159" t="s">
        <v>0</v>
      </c>
      <c r="V2" s="159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123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123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123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123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123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123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123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121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123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123</v>
      </c>
      <c r="M29" s="18"/>
      <c r="N29" s="13"/>
      <c r="O29" s="21"/>
      <c r="P29" s="12"/>
      <c r="Q29" s="16"/>
      <c r="R29" s="21"/>
      <c r="S29" s="12"/>
      <c r="T29" s="12"/>
      <c r="U29" s="156" t="s">
        <v>6</v>
      </c>
      <c r="V29" s="157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123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>
      <selection activeCell="H22" sqref="H22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25" workbookViewId="0">
      <selection activeCell="H54" sqref="H54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0" t="s">
        <v>104</v>
      </c>
      <c r="B37" s="161"/>
      <c r="C37" s="162"/>
      <c r="E37" s="163" t="s">
        <v>105</v>
      </c>
      <c r="F37" s="164"/>
      <c r="H37" s="165" t="s">
        <v>106</v>
      </c>
      <c r="I37" s="166"/>
      <c r="J37" s="166"/>
      <c r="K37" s="167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68" t="s">
        <v>7</v>
      </c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22"/>
    </row>
    <row r="2" spans="1:17" ht="15.75" x14ac:dyDescent="0.25">
      <c r="A2" s="9"/>
      <c r="B2" s="159" t="s">
        <v>8</v>
      </c>
      <c r="C2" s="159"/>
      <c r="D2" s="10"/>
      <c r="E2" s="159" t="s">
        <v>4</v>
      </c>
      <c r="F2" s="159"/>
      <c r="G2" s="10"/>
      <c r="H2" s="159" t="s">
        <v>5</v>
      </c>
      <c r="I2" s="159"/>
      <c r="J2" s="159"/>
      <c r="K2" s="10"/>
      <c r="L2" s="159" t="s">
        <v>1</v>
      </c>
      <c r="M2" s="159"/>
      <c r="N2" s="10"/>
      <c r="O2" s="159" t="s">
        <v>0</v>
      </c>
      <c r="P2" s="159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56" t="s">
        <v>6</v>
      </c>
      <c r="P16" s="157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58" t="s">
        <v>7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22"/>
    </row>
    <row r="2" spans="1:23" ht="15.75" x14ac:dyDescent="0.25">
      <c r="A2" s="9"/>
      <c r="B2" s="159" t="s">
        <v>8</v>
      </c>
      <c r="C2" s="159"/>
      <c r="D2" s="10"/>
      <c r="E2" s="159" t="s">
        <v>4</v>
      </c>
      <c r="F2" s="159"/>
      <c r="G2" s="10"/>
      <c r="H2" s="159" t="s">
        <v>3</v>
      </c>
      <c r="I2" s="159"/>
      <c r="J2" s="10"/>
      <c r="K2" s="159" t="s">
        <v>5</v>
      </c>
      <c r="L2" s="159"/>
      <c r="M2" s="159"/>
      <c r="N2" s="10"/>
      <c r="O2" s="159" t="s">
        <v>2</v>
      </c>
      <c r="P2" s="159"/>
      <c r="Q2" s="10"/>
      <c r="R2" s="159" t="s">
        <v>1</v>
      </c>
      <c r="S2" s="159"/>
      <c r="T2" s="10"/>
      <c r="U2" s="159" t="s">
        <v>0</v>
      </c>
      <c r="V2" s="159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56" t="s">
        <v>6</v>
      </c>
      <c r="V29" s="157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Courts &amp; Match Order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2024-01-14T21:46:00Z</dcterms:modified>
</cp:coreProperties>
</file>