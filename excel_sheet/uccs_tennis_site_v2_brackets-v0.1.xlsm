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Arch\home\maxh\uccs_tennis_site_v2\excel_sheet\"/>
    </mc:Choice>
  </mc:AlternateContent>
  <xr:revisionPtr revIDLastSave="0" documentId="13_ncr:1_{F94B573B-9601-48A1-9C15-6AB1E9941345}" xr6:coauthVersionLast="47" xr6:coauthVersionMax="47" xr10:uidLastSave="{00000000-0000-0000-0000-000000000000}"/>
  <bookViews>
    <workbookView xWindow="852" yWindow="-96" windowWidth="19980" windowHeight="13152" tabRatio="774" firstSheet="2" activeTab="2" xr2:uid="{D05C08A3-E984-44FE-BC9D-D4CF72F814FD}"/>
  </bookViews>
  <sheets>
    <sheet name="TOURNAMENT DETAILS" sheetId="9" r:id="rId1"/>
    <sheet name="SCHEDULE" sheetId="14" r:id="rId2"/>
    <sheet name="Team List" sheetId="3" r:id="rId3"/>
    <sheet name="Pools" sheetId="4" r:id="rId4"/>
    <sheet name="USER INTERFACE" sheetId="6" r:id="rId5"/>
    <sheet name="Pool Scores" sheetId="5" r:id="rId6"/>
    <sheet name="Gold Bracket" sheetId="10" r:id="rId7"/>
    <sheet name="Silver Bracket" sheetId="11" r:id="rId8"/>
    <sheet name="Bronze Bracket" sheetId="12" r:id="rId9"/>
    <sheet name="Copper Bracket" sheetId="13" r:id="rId10"/>
    <sheet name="Calculations" sheetId="7" r:id="rId11"/>
    <sheet name="8TeamTemplate" sheetId="2" r:id="rId12"/>
    <sheet name="16TeamTemplate" sheetId="1" r:id="rId13"/>
    <sheet name="WebServerUpload" sheetId="16" r:id="rId14"/>
  </sheets>
  <functionGroups builtInGroupCount="19"/>
  <definedNames>
    <definedName name="TeamsLeft">'Team List'!$F$2:$F$33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12" l="1"/>
  <c r="I31" i="12"/>
  <c r="F27" i="12" s="1"/>
  <c r="O30" i="12"/>
  <c r="I30" i="12"/>
  <c r="O23" i="12"/>
  <c r="I23" i="12"/>
  <c r="O22" i="12"/>
  <c r="I22" i="12" s="1"/>
  <c r="O15" i="12"/>
  <c r="I14" i="12" s="1"/>
  <c r="O14" i="12"/>
  <c r="O7" i="12"/>
  <c r="I7" i="12"/>
  <c r="O6" i="12"/>
  <c r="I6" i="12" s="1"/>
  <c r="O31" i="11"/>
  <c r="I31" i="11" s="1"/>
  <c r="O30" i="11"/>
  <c r="I30" i="11"/>
  <c r="O23" i="11"/>
  <c r="I23" i="11"/>
  <c r="O22" i="11"/>
  <c r="I22" i="11"/>
  <c r="O15" i="11"/>
  <c r="I15" i="11"/>
  <c r="O14" i="11"/>
  <c r="R11" i="11" s="1"/>
  <c r="I14" i="11"/>
  <c r="F11" i="11" s="1"/>
  <c r="O7" i="11"/>
  <c r="I7" i="11"/>
  <c r="O6" i="11"/>
  <c r="I6" i="11"/>
  <c r="O31" i="10"/>
  <c r="I31" i="10"/>
  <c r="O30" i="10"/>
  <c r="R27" i="10" s="1"/>
  <c r="I30" i="10"/>
  <c r="O23" i="10"/>
  <c r="I23" i="10"/>
  <c r="O22" i="10"/>
  <c r="R26" i="10" s="1"/>
  <c r="O15" i="10"/>
  <c r="I15" i="10"/>
  <c r="O14" i="10"/>
  <c r="O7" i="10"/>
  <c r="I7" i="10"/>
  <c r="O6" i="10"/>
  <c r="I6" i="10"/>
  <c r="R27" i="12" l="1"/>
  <c r="F26" i="12"/>
  <c r="I15" i="12"/>
  <c r="F11" i="12" s="1"/>
  <c r="R26" i="12"/>
  <c r="F10" i="12"/>
  <c r="R10" i="12"/>
  <c r="R11" i="12"/>
  <c r="C19" i="12"/>
  <c r="F10" i="11"/>
  <c r="C18" i="11" s="1"/>
  <c r="R10" i="11"/>
  <c r="F26" i="11"/>
  <c r="R26" i="11"/>
  <c r="F27" i="11"/>
  <c r="R27" i="11"/>
  <c r="U18" i="11"/>
  <c r="C19" i="11"/>
  <c r="U31" i="11"/>
  <c r="U19" i="11"/>
  <c r="U30" i="11"/>
  <c r="F27" i="10"/>
  <c r="I22" i="10"/>
  <c r="F26" i="10"/>
  <c r="C19" i="10" s="1"/>
  <c r="R11" i="10"/>
  <c r="I14" i="10"/>
  <c r="F11" i="10" s="1"/>
  <c r="C18" i="10" s="1"/>
  <c r="U19" i="10"/>
  <c r="U31" i="10"/>
  <c r="F10" i="10"/>
  <c r="R10" i="10"/>
  <c r="U18" i="10"/>
  <c r="D5" i="14"/>
  <c r="D8" i="14"/>
  <c r="I2" i="14"/>
  <c r="D23" i="14"/>
  <c r="D20" i="14"/>
  <c r="D17" i="14"/>
  <c r="D14" i="14"/>
  <c r="D11" i="14"/>
  <c r="U19" i="12" l="1"/>
  <c r="U31" i="12"/>
  <c r="U30" i="12"/>
  <c r="C18" i="12"/>
  <c r="U18" i="12"/>
  <c r="U30" i="10"/>
  <c r="I31" i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C29" i="7"/>
  <c r="B29" i="7"/>
  <c r="B28" i="7"/>
  <c r="C28" i="7"/>
  <c r="C27" i="7"/>
  <c r="B27" i="7"/>
  <c r="B25" i="7"/>
  <c r="C25" i="7"/>
  <c r="B26" i="7"/>
  <c r="C26" i="7"/>
  <c r="C24" i="7"/>
  <c r="B24" i="7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B21" i="7" l="1"/>
  <c r="L5" i="7"/>
  <c r="G19" i="7"/>
  <c r="L19" i="7"/>
  <c r="M22" i="7"/>
  <c r="Q21" i="7"/>
  <c r="Q20" i="7"/>
  <c r="M19" i="7"/>
  <c r="H22" i="7"/>
  <c r="C22" i="7"/>
  <c r="B20" i="7"/>
  <c r="C20" i="7"/>
  <c r="Q3" i="7"/>
  <c r="Q4" i="7"/>
  <c r="L2" i="7"/>
  <c r="L4" i="7"/>
  <c r="G3" i="7"/>
  <c r="G22" i="7"/>
  <c r="R4" i="7"/>
  <c r="R20" i="7"/>
  <c r="M2" i="7"/>
  <c r="R3" i="7"/>
  <c r="C19" i="7"/>
  <c r="B22" i="7"/>
  <c r="H20" i="7"/>
  <c r="Q22" i="7"/>
  <c r="L22" i="7"/>
  <c r="N22" i="7" s="1"/>
  <c r="L21" i="7"/>
  <c r="M21" i="7"/>
  <c r="H21" i="7"/>
  <c r="G20" i="7"/>
  <c r="G21" i="7"/>
  <c r="C21" i="7"/>
  <c r="D21" i="7" s="1"/>
  <c r="R21" i="7"/>
  <c r="Q19" i="7"/>
  <c r="L20" i="7"/>
  <c r="H19" i="7"/>
  <c r="R19" i="7"/>
  <c r="M20" i="7"/>
  <c r="R22" i="7"/>
  <c r="B19" i="7"/>
  <c r="Q5" i="7"/>
  <c r="Q2" i="7"/>
  <c r="R2" i="7"/>
  <c r="R5" i="7"/>
  <c r="M5" i="7"/>
  <c r="N5" i="7" s="1"/>
  <c r="M3" i="7"/>
  <c r="M4" i="7"/>
  <c r="L3" i="7"/>
  <c r="H5" i="7"/>
  <c r="G4" i="7"/>
  <c r="G5" i="7"/>
  <c r="H2" i="7"/>
  <c r="H3" i="7"/>
  <c r="H4" i="7"/>
  <c r="G2" i="7"/>
  <c r="N19" i="7" l="1"/>
  <c r="I19" i="7"/>
  <c r="S21" i="7"/>
  <c r="S20" i="7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S22" i="7"/>
  <c r="I2" i="7"/>
  <c r="N3" i="7"/>
  <c r="I4" i="7"/>
  <c r="S2" i="7"/>
  <c r="C12" i="7" l="1"/>
  <c r="B12" i="7"/>
  <c r="B11" i="7"/>
  <c r="C11" i="7"/>
  <c r="C10" i="7"/>
  <c r="B10" i="7"/>
  <c r="C8" i="7"/>
  <c r="C9" i="7"/>
  <c r="C7" i="7"/>
  <c r="B8" i="7"/>
  <c r="B9" i="7"/>
  <c r="B7" i="7"/>
  <c r="B2" i="7" l="1"/>
  <c r="B4" i="7"/>
  <c r="C5" i="7"/>
  <c r="C4" i="7"/>
  <c r="B5" i="7"/>
  <c r="C2" i="7"/>
  <c r="C3" i="7"/>
  <c r="B3" i="7"/>
  <c r="B3" i="4"/>
  <c r="D5" i="7" l="1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F7" i="4"/>
  <c r="D7" i="4"/>
  <c r="E2" i="3" s="1"/>
  <c r="B7" i="4"/>
  <c r="H5" i="4"/>
  <c r="F5" i="4"/>
  <c r="D5" i="4"/>
  <c r="B5" i="4"/>
  <c r="H4" i="4"/>
  <c r="F4" i="4"/>
  <c r="D4" i="4"/>
  <c r="B4" i="4"/>
  <c r="H3" i="4"/>
  <c r="F3" i="4"/>
  <c r="D3" i="4"/>
  <c r="H2" i="4"/>
  <c r="F2" i="4"/>
  <c r="D2" i="4"/>
  <c r="B2" i="4"/>
  <c r="P2" i="7" l="1" a="1"/>
  <c r="P2" i="7" s="1"/>
  <c r="P19" i="7" a="1"/>
  <c r="P29" i="7" s="1"/>
  <c r="F2" i="7" a="1"/>
  <c r="F2" i="7" s="1"/>
  <c r="K2" i="7" a="1"/>
  <c r="N9" i="7" s="1"/>
  <c r="A19" i="7" a="1"/>
  <c r="K19" i="7" a="1"/>
  <c r="E21" i="3"/>
  <c r="E23" i="3"/>
  <c r="E27" i="3"/>
  <c r="E9" i="3"/>
  <c r="E11" i="3"/>
  <c r="E14" i="3"/>
  <c r="E19" i="3"/>
  <c r="E22" i="3"/>
  <c r="E29" i="3"/>
  <c r="E31" i="3"/>
  <c r="E15" i="3"/>
  <c r="E3" i="3"/>
  <c r="E33" i="3"/>
  <c r="E18" i="3"/>
  <c r="E4" i="3"/>
  <c r="E24" i="3"/>
  <c r="E7" i="3"/>
  <c r="E10" i="3"/>
  <c r="E32" i="3"/>
  <c r="E16" i="3"/>
  <c r="E20" i="3"/>
  <c r="E5" i="3"/>
  <c r="E25" i="3"/>
  <c r="E28" i="3"/>
  <c r="E12" i="3"/>
  <c r="E6" i="3"/>
  <c r="E26" i="3"/>
  <c r="E8" i="3"/>
  <c r="E30" i="3"/>
  <c r="E13" i="3"/>
  <c r="E17" i="3"/>
  <c r="A2" i="7" a="1"/>
  <c r="D7" i="7" s="1"/>
  <c r="F19" i="7" a="1"/>
  <c r="R10" i="1"/>
  <c r="U18" i="1" s="1"/>
  <c r="I6" i="1"/>
  <c r="F10" i="1" s="1"/>
  <c r="C18" i="1" s="1"/>
  <c r="C10" i="2"/>
  <c r="C11" i="2"/>
  <c r="O11" i="2"/>
  <c r="O17" i="2"/>
  <c r="O10" i="2"/>
  <c r="O18" i="2"/>
  <c r="F2" i="3" l="1" a="1"/>
  <c r="F2" i="3" s="1"/>
  <c r="P28" i="7"/>
  <c r="P27" i="7"/>
  <c r="S24" i="7"/>
  <c r="S29" i="7"/>
  <c r="S26" i="7"/>
  <c r="S27" i="7"/>
  <c r="T27" i="7" s="1"/>
  <c r="S28" i="7"/>
  <c r="T28" i="7" s="1"/>
  <c r="S25" i="7"/>
  <c r="T25" i="7" s="1"/>
  <c r="P19" i="7"/>
  <c r="P24" i="7" s="1"/>
  <c r="T24" i="7" s="1"/>
  <c r="F10" i="7"/>
  <c r="I11" i="7"/>
  <c r="J11" i="7" s="1"/>
  <c r="S7" i="7"/>
  <c r="T7" i="7" s="1"/>
  <c r="F11" i="7"/>
  <c r="P12" i="7"/>
  <c r="T12" i="7" s="1"/>
  <c r="I7" i="7"/>
  <c r="S9" i="7"/>
  <c r="I12" i="7"/>
  <c r="J12" i="7" s="1"/>
  <c r="S11" i="7"/>
  <c r="F12" i="7"/>
  <c r="P10" i="7"/>
  <c r="T10" i="7" s="1"/>
  <c r="P11" i="7"/>
  <c r="T11" i="7" s="1"/>
  <c r="S8" i="7"/>
  <c r="S10" i="7"/>
  <c r="S12" i="7"/>
  <c r="A10" i="7"/>
  <c r="D8" i="7"/>
  <c r="I8" i="7"/>
  <c r="K2" i="7"/>
  <c r="K7" i="7" s="1"/>
  <c r="I9" i="7"/>
  <c r="I10" i="7"/>
  <c r="J10" i="7" s="1"/>
  <c r="K19" i="7"/>
  <c r="K28" i="7"/>
  <c r="N24" i="7"/>
  <c r="N27" i="7"/>
  <c r="O27" i="7" s="1"/>
  <c r="K29" i="7"/>
  <c r="N25" i="7"/>
  <c r="O25" i="7" s="1"/>
  <c r="N28" i="7"/>
  <c r="K27" i="7"/>
  <c r="N26" i="7"/>
  <c r="N29" i="7"/>
  <c r="N10" i="7"/>
  <c r="O10" i="7" s="1"/>
  <c r="N8" i="7"/>
  <c r="N11" i="7"/>
  <c r="K11" i="7"/>
  <c r="A19" i="7"/>
  <c r="D26" i="7"/>
  <c r="D29" i="7"/>
  <c r="E29" i="7" s="1"/>
  <c r="D24" i="7"/>
  <c r="D27" i="7"/>
  <c r="A28" i="7"/>
  <c r="A29" i="7"/>
  <c r="D25" i="7"/>
  <c r="E25" i="7" s="1"/>
  <c r="D28" i="7"/>
  <c r="A27" i="7"/>
  <c r="P7" i="7"/>
  <c r="P8" i="7"/>
  <c r="T8" i="7" s="1"/>
  <c r="P9" i="7"/>
  <c r="K12" i="7"/>
  <c r="A12" i="7"/>
  <c r="A11" i="7"/>
  <c r="D10" i="7"/>
  <c r="E10" i="7" s="1"/>
  <c r="N12" i="7"/>
  <c r="O12" i="7" s="1"/>
  <c r="K10" i="7"/>
  <c r="T29" i="7"/>
  <c r="N7" i="7"/>
  <c r="A2" i="7"/>
  <c r="A8" i="7" s="1"/>
  <c r="E8" i="7" s="1"/>
  <c r="D11" i="7"/>
  <c r="D12" i="7"/>
  <c r="E12" i="7" s="1"/>
  <c r="D9" i="7"/>
  <c r="F19" i="7"/>
  <c r="F29" i="7"/>
  <c r="I25" i="7"/>
  <c r="J25" i="7" s="1"/>
  <c r="I26" i="7"/>
  <c r="J26" i="7" s="1"/>
  <c r="F28" i="7"/>
  <c r="J28" i="7" s="1"/>
  <c r="I29" i="7"/>
  <c r="J29" i="7" s="1"/>
  <c r="I24" i="7"/>
  <c r="J24" i="7" s="1"/>
  <c r="I27" i="7"/>
  <c r="J27" i="7" s="1"/>
  <c r="I28" i="7"/>
  <c r="F27" i="7"/>
  <c r="U30" i="1"/>
  <c r="F7" i="7"/>
  <c r="J7" i="7" s="1"/>
  <c r="F9" i="7"/>
  <c r="J9" i="7" s="1"/>
  <c r="F8" i="7"/>
  <c r="J8" i="7" s="1"/>
  <c r="P26" i="7" l="1"/>
  <c r="T26" i="7" s="1"/>
  <c r="T20" i="7" s="1"/>
  <c r="P25" i="7"/>
  <c r="O29" i="7"/>
  <c r="T9" i="7"/>
  <c r="T2" i="7" s="1"/>
  <c r="J21" i="7"/>
  <c r="O28" i="7"/>
  <c r="K8" i="7"/>
  <c r="K9" i="7"/>
  <c r="O9" i="7" s="1"/>
  <c r="E28" i="7"/>
  <c r="O7" i="7"/>
  <c r="O11" i="7"/>
  <c r="O8" i="7"/>
  <c r="J2" i="7"/>
  <c r="A7" i="7"/>
  <c r="E7" i="7" s="1"/>
  <c r="A9" i="7"/>
  <c r="E9" i="7" s="1"/>
  <c r="E11" i="7"/>
  <c r="E27" i="7"/>
  <c r="T19" i="7"/>
  <c r="A26" i="7"/>
  <c r="E26" i="7" s="1"/>
  <c r="A24" i="7"/>
  <c r="E24" i="7" s="1"/>
  <c r="A25" i="7"/>
  <c r="K25" i="7"/>
  <c r="K26" i="7"/>
  <c r="O26" i="7" s="1"/>
  <c r="K24" i="7"/>
  <c r="O24" i="7" s="1"/>
  <c r="J20" i="7"/>
  <c r="J22" i="7"/>
  <c r="F25" i="7"/>
  <c r="F26" i="7"/>
  <c r="F24" i="7"/>
  <c r="J19" i="7"/>
  <c r="J3" i="7"/>
  <c r="J5" i="7"/>
  <c r="J4" i="7"/>
  <c r="T21" i="7" l="1"/>
  <c r="T22" i="7"/>
  <c r="T4" i="7"/>
  <c r="T3" i="7"/>
  <c r="T5" i="7"/>
  <c r="O19" i="7"/>
  <c r="O2" i="7"/>
  <c r="E19" i="7"/>
  <c r="E4" i="7"/>
  <c r="E2" i="7"/>
  <c r="O5" i="7"/>
  <c r="E3" i="7"/>
  <c r="O4" i="7"/>
  <c r="O3" i="7"/>
  <c r="E5" i="7"/>
  <c r="O21" i="7"/>
  <c r="O20" i="7"/>
  <c r="O22" i="7"/>
  <c r="E21" i="7"/>
  <c r="E22" i="7"/>
  <c r="E20" i="7"/>
  <c r="F31" i="7" a="1"/>
  <c r="F31" i="7" s="1"/>
  <c r="F14" i="7" a="1"/>
  <c r="G15" i="7" s="1" a="1"/>
  <c r="G15" i="7" s="1"/>
  <c r="H15" i="7" s="1"/>
  <c r="P31" i="7" l="1" a="1"/>
  <c r="Q34" i="7" s="1" a="1"/>
  <c r="Q34" i="7" s="1"/>
  <c r="R34" i="7" s="1"/>
  <c r="P14" i="7" a="1"/>
  <c r="Q15" i="7" s="1" a="1"/>
  <c r="Q15" i="7" s="1"/>
  <c r="R15" i="7" s="1"/>
  <c r="A31" i="7" a="1"/>
  <c r="B34" i="7" s="1" a="1"/>
  <c r="B34" i="7" s="1"/>
  <c r="C34" i="7" s="1"/>
  <c r="K31" i="7" a="1"/>
  <c r="L34" i="7" s="1" a="1"/>
  <c r="L34" i="7" s="1"/>
  <c r="M34" i="7" s="1"/>
  <c r="G34" i="7" a="1"/>
  <c r="G34" i="7" s="1"/>
  <c r="H34" i="7" s="1"/>
  <c r="G33" i="7" a="1"/>
  <c r="G33" i="7" s="1"/>
  <c r="H33" i="7" s="1"/>
  <c r="G32" i="7" a="1"/>
  <c r="G32" i="7" s="1"/>
  <c r="H32" i="7" s="1"/>
  <c r="A14" i="7" a="1"/>
  <c r="B15" i="7" s="1" a="1"/>
  <c r="B15" i="7" s="1"/>
  <c r="C15" i="7" s="1"/>
  <c r="K14" i="7" a="1"/>
  <c r="L15" i="7" s="1" a="1"/>
  <c r="L15" i="7" s="1"/>
  <c r="M15" i="7" s="1"/>
  <c r="G31" i="7" a="1"/>
  <c r="G31" i="7" s="1"/>
  <c r="H31" i="7" s="1"/>
  <c r="G16" i="7" a="1"/>
  <c r="G16" i="7" s="1"/>
  <c r="H16" i="7" s="1"/>
  <c r="F14" i="7"/>
  <c r="G14" i="7" s="1" a="1"/>
  <c r="G14" i="7" s="1"/>
  <c r="H14" i="7" s="1"/>
  <c r="G17" i="7" a="1"/>
  <c r="G17" i="7" s="1"/>
  <c r="H17" i="7" s="1"/>
  <c r="Q33" i="7" l="1" a="1"/>
  <c r="Q33" i="7" s="1"/>
  <c r="R33" i="7" s="1"/>
  <c r="P31" i="7"/>
  <c r="Q31" i="7" s="1" a="1"/>
  <c r="Q31" i="7" s="1"/>
  <c r="R31" i="7" s="1"/>
  <c r="Q32" i="7" a="1"/>
  <c r="Q32" i="7" s="1"/>
  <c r="R32" i="7" s="1"/>
  <c r="Q17" i="7" a="1"/>
  <c r="Q17" i="7" s="1"/>
  <c r="R17" i="7" s="1"/>
  <c r="P14" i="7"/>
  <c r="Q16" i="7" a="1"/>
  <c r="Q16" i="7" s="1"/>
  <c r="R16" i="7" s="1"/>
  <c r="B32" i="7" a="1"/>
  <c r="B32" i="7" s="1"/>
  <c r="C32" i="7" s="1"/>
  <c r="B33" i="7" a="1"/>
  <c r="B33" i="7" s="1"/>
  <c r="C33" i="7" s="1"/>
  <c r="A31" i="7"/>
  <c r="B31" i="7" s="1" a="1"/>
  <c r="B31" i="7" s="1"/>
  <c r="C31" i="7" s="1"/>
  <c r="L33" i="7" a="1"/>
  <c r="L33" i="7" s="1"/>
  <c r="M33" i="7" s="1"/>
  <c r="L32" i="7" a="1"/>
  <c r="L32" i="7" s="1"/>
  <c r="M32" i="7" s="1"/>
  <c r="K31" i="7"/>
  <c r="B17" i="7" a="1"/>
  <c r="B17" i="7" s="1"/>
  <c r="C17" i="7" s="1"/>
  <c r="A14" i="7"/>
  <c r="B14" i="7" s="1" a="1"/>
  <c r="B14" i="7" s="1"/>
  <c r="C14" i="7" s="1"/>
  <c r="B16" i="7" a="1"/>
  <c r="B16" i="7" s="1"/>
  <c r="C16" i="7" s="1"/>
  <c r="K14" i="7"/>
  <c r="L14" i="7" s="1" a="1"/>
  <c r="L14" i="7" s="1"/>
  <c r="M14" i="7" s="1"/>
  <c r="L17" i="7" a="1"/>
  <c r="L17" i="7" s="1"/>
  <c r="M17" i="7" s="1"/>
  <c r="L16" i="7" a="1"/>
  <c r="L16" i="7" s="1"/>
  <c r="M16" i="7" s="1"/>
  <c r="L31" i="7" a="1"/>
  <c r="L31" i="7" s="1"/>
  <c r="M31" i="7" s="1"/>
  <c r="Q14" i="7" a="1"/>
  <c r="Q14" i="7" s="1"/>
  <c r="R14" i="7" s="1"/>
  <c r="A59" i="7" a="1"/>
  <c r="A59" i="7" s="1"/>
  <c r="A43" i="7" a="1"/>
  <c r="A43" i="7" s="1"/>
  <c r="A67" i="7" l="1" a="1"/>
  <c r="A67" i="7" s="1"/>
  <c r="A55" i="7" a="1"/>
  <c r="A55" i="7" s="1"/>
  <c r="A63" i="7" a="1"/>
  <c r="A63" i="7" s="1"/>
  <c r="A39" i="7" a="1"/>
  <c r="A39" i="7" s="1"/>
  <c r="A51" i="7" a="1"/>
  <c r="A51" i="7" s="1"/>
  <c r="A47" i="7" a="1"/>
  <c r="A47" i="7" s="1"/>
  <c r="E39" i="7" l="1" a="1"/>
  <c r="E39" i="7" s="1"/>
  <c r="H39" i="7" a="1"/>
  <c r="J39" i="7" a="1"/>
  <c r="K39" i="7" a="1"/>
  <c r="I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<sst xmlns="http://schemas.openxmlformats.org/spreadsheetml/2006/main" count="514" uniqueCount="139">
  <si>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</si>
  <si>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</si>
  <si>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</si>
  <si>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</si>
  <si>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</si>
  <si>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</si>
  <si>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</si>
  <si>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</si>
  <si>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</si>
  <si>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</si>
  <si>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</si>
  <si>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</si>
  <si>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</si>
  <si>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</si>
  <si>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</si>
  <si>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</si>
  <si>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</si>
  <si>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</si>
  <si>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</si>
  <si>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</si>
  <si>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</si>
  <si>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</si>
  <si>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</si>
  <si>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</si>
  <si>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</si>
  <si>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</si>
  <si>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</si>
  <si>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</si>
  <si>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</si>
  <si>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</si>
  <si>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</si>
  <si>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</si>
  <si>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</si>
  <si>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</si>
  <si>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</si>
  <si>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</si>
  <si>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</si>
  <si>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</si>
  <si>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</si>
  <si>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</si>
  <si>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</si>
  <si>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</si>
  <si>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</si>
  <si>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</si>
  <si>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</si>
  <si>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</si>
  <si>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</si>
  <si>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</si>
  <si>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</si>
  <si>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</si>
  <si>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</si>
  <si>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</si>
  <si>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</si>
  <si>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</si>
  <si>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</si>
  <si>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</si>
  <si>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</si>
  <si>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</si>
  <si>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</si>
  <si>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</si>
  <si>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</si>
  <si>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</si>
  <si>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</si>
  <si>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</si>
  <si>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</si>
  <si>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</si>
  <si>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</si>
  <si>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</si>
  <si>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</si>
  <si>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</si>
  <si>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</si>
  <si>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</si>
  <si>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</si>
  <si>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</si>
  <si>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</si>
  <si>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</si>
  <si>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</si>
  <si>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</si>
  <si>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</si>
  <si>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</si>
  <si>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</si>
  <si>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</si>
  <si>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</si>
  <si>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</si>
  <si>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</si>
  <si>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</si>
  <si>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</si>
  <si>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</si>
  <si>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</si>
  <si>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</si>
  <si>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</si>
  <si>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</si>
  <si>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</si>
  <si>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</si>
  <si>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</si>
  <si>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</si>
  <si>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</si>
  <si>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</si>
  <si>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</si>
  <si>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</si>
  <si>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</si>
  <si>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</si>
  <si>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</si>
  <si>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</si>
  <si>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</si>
  <si>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</si>
  <si>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</si>
  <si>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</si>
  <si>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</si>
  <si>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</si>
  <si>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</si>
  <si>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</si>
  <si>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</si>
  <si>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</si>
  <si>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</si>
  <si>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</si>
  <si>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</si>
  <si>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</si>
  <si>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Max Hay, UCCS Club Tennis</t>
  </si>
  <si>
    <t>Est End:</t>
  </si>
  <si>
    <t>Start:</t>
  </si>
  <si>
    <t>Courts</t>
  </si>
  <si>
    <t>Current Time:</t>
  </si>
  <si>
    <t xml:space="preserve">  Finished Matches</t>
  </si>
  <si>
    <t xml:space="preserve"> Upcoming Matches</t>
  </si>
  <si>
    <t>Courts 1-2</t>
  </si>
  <si>
    <t>Courts 3-4</t>
  </si>
  <si>
    <t>Courts 5-6</t>
  </si>
  <si>
    <t>Courts 7-8</t>
  </si>
  <si>
    <t>Courts 10-11</t>
  </si>
  <si>
    <t>Courts 12-13</t>
  </si>
  <si>
    <t>Courts 14-15</t>
  </si>
  <si>
    <t>GOLD BRACKET</t>
  </si>
  <si>
    <t>SILVER BRACKET</t>
  </si>
  <si>
    <t>BRONZE BRACKET</t>
  </si>
  <si>
    <t>bye</t>
  </si>
  <si>
    <t>https://uccstennisimages.share.zrok.io</t>
  </si>
  <si>
    <t>Asset Server URL</t>
  </si>
  <si>
    <t>Pool 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</si>
</sst>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i/>
      <sz val="11"/>
      <color theme="2" tint="-0.74999237037263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59999389629810485"/>
        <bgColor indexed="65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</cellStyleXfs>
  <cellXfs count="239">
    <xf numFmtId="0" fontId="0" fillId="0" borderId="0" xfId="0"/>
    <xf numFmtId="0" fontId="0" fillId="0" borderId="0" xfId="0" applyAlignment="1">
      <alignment horizontal="center"/>
    </xf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4" xfId="0" applyFill="1" applyBorder="1"/>
    <xf numFmtId="0" fontId="0" fillId="8" borderId="3" xfId="0" applyFill="1" applyBorder="1"/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7" fillId="0" borderId="0" xfId="0" applyFont="1"/>
    <xf numFmtId="0" fontId="0" fillId="0" borderId="9" xfId="0" applyBorder="1"/>
    <xf numFmtId="0" fontId="1" fillId="28" borderId="9" xfId="16" applyBorder="1"/>
    <xf numFmtId="0" fontId="2" fillId="28" borderId="5" xfId="16" applyFont="1" applyBorder="1" applyAlignment="1">
      <alignment horizontal="center"/>
    </xf>
    <xf numFmtId="0" fontId="1" fillId="28" borderId="6" xfId="16" applyBorder="1"/>
    <xf numFmtId="0" fontId="0" fillId="0" borderId="6" xfId="0" applyBorder="1"/>
    <xf numFmtId="0" fontId="2" fillId="0" borderId="9" xfId="0" applyFont="1" applyBorder="1"/>
    <xf numFmtId="0" fontId="2" fillId="0" borderId="6" xfId="0" applyFont="1" applyBorder="1"/>
    <xf numFmtId="0" fontId="0" fillId="0" borderId="5" xfId="0" applyBorder="1"/>
    <xf numFmtId="0" fontId="1" fillId="25" borderId="46" xfId="12" applyBorder="1"/>
    <xf numFmtId="0" fontId="1" fillId="25" borderId="47" xfId="12" applyBorder="1" applyAlignment="1">
      <alignment horizontal="center"/>
    </xf>
    <xf numFmtId="0" fontId="1" fillId="30" borderId="48" xfId="18" applyBorder="1"/>
    <xf numFmtId="0" fontId="1" fillId="30" borderId="49" xfId="18" applyBorder="1" applyAlignment="1">
      <alignment horizontal="center"/>
    </xf>
    <xf numFmtId="0" fontId="1" fillId="25" borderId="48" xfId="12" applyBorder="1"/>
    <xf numFmtId="0" fontId="1" fillId="25" borderId="49" xfId="12" applyBorder="1" applyAlignment="1">
      <alignment horizontal="center"/>
    </xf>
    <xf numFmtId="0" fontId="1" fillId="30" borderId="50" xfId="18" applyBorder="1"/>
    <xf numFmtId="0" fontId="1" fillId="30" borderId="51" xfId="18" applyBorder="1" applyAlignment="1">
      <alignment horizontal="center"/>
    </xf>
    <xf numFmtId="0" fontId="0" fillId="12" borderId="46" xfId="0" applyFill="1" applyBorder="1"/>
    <xf numFmtId="0" fontId="0" fillId="12" borderId="47" xfId="0" applyFill="1" applyBorder="1" applyAlignment="1">
      <alignment horizontal="center"/>
    </xf>
    <xf numFmtId="0" fontId="0" fillId="13" borderId="48" xfId="0" applyFill="1" applyBorder="1"/>
    <xf numFmtId="0" fontId="0" fillId="13" borderId="49" xfId="0" applyFill="1" applyBorder="1" applyAlignment="1">
      <alignment horizontal="center"/>
    </xf>
    <xf numFmtId="0" fontId="0" fillId="12" borderId="48" xfId="0" applyFill="1" applyBorder="1"/>
    <xf numFmtId="0" fontId="0" fillId="12" borderId="49" xfId="0" applyFill="1" applyBorder="1" applyAlignment="1">
      <alignment horizontal="center"/>
    </xf>
    <xf numFmtId="0" fontId="0" fillId="13" borderId="50" xfId="0" applyFill="1" applyBorder="1"/>
    <xf numFmtId="0" fontId="0" fillId="13" borderId="51" xfId="0" applyFill="1" applyBorder="1" applyAlignment="1">
      <alignment horizontal="center"/>
    </xf>
    <xf numFmtId="0" fontId="10" fillId="9" borderId="44" xfId="0" applyFont="1" applyFill="1" applyBorder="1" applyAlignment="1">
      <alignment horizontal="center" vertical="center"/>
    </xf>
    <xf numFmtId="0" fontId="2" fillId="9" borderId="52" xfId="0" applyFont="1" applyFill="1" applyBorder="1" applyAlignment="1">
      <alignment horizontal="center"/>
    </xf>
    <xf numFmtId="0" fontId="4" fillId="9" borderId="45" xfId="0" applyFont="1" applyFill="1" applyBorder="1" applyAlignment="1">
      <alignment horizontal="center"/>
    </xf>
    <xf numFmtId="0" fontId="10" fillId="9" borderId="53" xfId="0" applyFont="1" applyFill="1" applyBorder="1" applyAlignment="1">
      <alignment horizontal="center" vertical="center"/>
    </xf>
    <xf numFmtId="0" fontId="2" fillId="9" borderId="54" xfId="0" applyFont="1" applyFill="1" applyBorder="1" applyAlignment="1">
      <alignment horizontal="center"/>
    </xf>
    <xf numFmtId="0" fontId="4" fillId="9" borderId="55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center"/>
    </xf>
    <xf numFmtId="0" fontId="4" fillId="5" borderId="45" xfId="0" applyFont="1" applyFill="1" applyBorder="1" applyAlignment="1">
      <alignment horizontal="center"/>
    </xf>
    <xf numFmtId="0" fontId="2" fillId="5" borderId="53" xfId="0" applyFont="1" applyFill="1" applyBorder="1" applyAlignment="1">
      <alignment horizontal="center"/>
    </xf>
    <xf numFmtId="0" fontId="4" fillId="5" borderId="55" xfId="0" applyFont="1" applyFill="1" applyBorder="1" applyAlignment="1">
      <alignment horizontal="center"/>
    </xf>
    <xf numFmtId="0" fontId="2" fillId="4" borderId="44" xfId="0" applyFont="1" applyFill="1" applyBorder="1" applyAlignment="1">
      <alignment horizontal="center"/>
    </xf>
    <xf numFmtId="0" fontId="4" fillId="4" borderId="45" xfId="0" applyFont="1" applyFill="1" applyBorder="1" applyAlignment="1">
      <alignment horizontal="center"/>
    </xf>
    <xf numFmtId="0" fontId="2" fillId="4" borderId="53" xfId="0" applyFont="1" applyFill="1" applyBorder="1" applyAlignment="1">
      <alignment horizontal="center"/>
    </xf>
    <xf numFmtId="0" fontId="4" fillId="4" borderId="55" xfId="0" applyFont="1" applyFill="1" applyBorder="1" applyAlignment="1">
      <alignment horizontal="center"/>
    </xf>
    <xf numFmtId="0" fontId="4" fillId="4" borderId="55" xfId="0" applyFont="1" applyFill="1" applyBorder="1"/>
    <xf numFmtId="0" fontId="4" fillId="5" borderId="44" xfId="0" applyFont="1" applyFill="1" applyBorder="1" applyAlignment="1">
      <alignment horizontal="center"/>
    </xf>
    <xf numFmtId="0" fontId="2" fillId="5" borderId="45" xfId="0" applyFont="1" applyFill="1" applyBorder="1" applyAlignment="1">
      <alignment horizontal="center"/>
    </xf>
    <xf numFmtId="0" fontId="4" fillId="5" borderId="53" xfId="0" applyFont="1" applyFill="1" applyBorder="1" applyAlignment="1">
      <alignment horizontal="center"/>
    </xf>
    <xf numFmtId="0" fontId="2" fillId="5" borderId="55" xfId="0" applyFont="1" applyFill="1" applyBorder="1" applyAlignment="1">
      <alignment horizontal="center"/>
    </xf>
    <xf numFmtId="0" fontId="4" fillId="4" borderId="44" xfId="0" applyFont="1" applyFill="1" applyBorder="1" applyAlignment="1">
      <alignment horizontal="center"/>
    </xf>
    <xf numFmtId="0" fontId="2" fillId="4" borderId="45" xfId="0" applyFont="1" applyFill="1" applyBorder="1" applyAlignment="1">
      <alignment horizontal="center"/>
    </xf>
    <xf numFmtId="0" fontId="4" fillId="4" borderId="53" xfId="0" applyFont="1" applyFill="1" applyBorder="1" applyAlignment="1">
      <alignment horizontal="center"/>
    </xf>
    <xf numFmtId="0" fontId="2" fillId="4" borderId="55" xfId="0" applyFont="1" applyFill="1" applyBorder="1" applyAlignment="1">
      <alignment horizontal="center"/>
    </xf>
    <xf numFmtId="0" fontId="2" fillId="4" borderId="58" xfId="0" applyFont="1" applyFill="1" applyBorder="1" applyAlignment="1">
      <alignment horizontal="center"/>
    </xf>
    <xf numFmtId="0" fontId="4" fillId="4" borderId="59" xfId="0" applyFont="1" applyFill="1" applyBorder="1"/>
    <xf numFmtId="0" fontId="0" fillId="8" borderId="64" xfId="0" applyFill="1" applyBorder="1"/>
    <xf numFmtId="0" fontId="0" fillId="8" borderId="65" xfId="0" applyFill="1" applyBorder="1"/>
    <xf numFmtId="0" fontId="0" fillId="8" borderId="63" xfId="0" applyFill="1" applyBorder="1"/>
    <xf numFmtId="0" fontId="0" fillId="8" borderId="66" xfId="0" applyFill="1" applyBorder="1"/>
    <xf numFmtId="0" fontId="0" fillId="8" borderId="50" xfId="0" applyFill="1" applyBorder="1"/>
    <xf numFmtId="0" fontId="0" fillId="8" borderId="48" xfId="0" applyFill="1" applyBorder="1"/>
    <xf numFmtId="0" fontId="2" fillId="6" borderId="44" xfId="0" applyFont="1" applyFill="1" applyBorder="1" applyAlignment="1">
      <alignment horizontal="center"/>
    </xf>
    <xf numFmtId="0" fontId="4" fillId="6" borderId="45" xfId="0" applyFont="1" applyFill="1" applyBorder="1"/>
    <xf numFmtId="0" fontId="2" fillId="6" borderId="53" xfId="0" applyFont="1" applyFill="1" applyBorder="1" applyAlignment="1">
      <alignment horizontal="center"/>
    </xf>
    <xf numFmtId="0" fontId="4" fillId="6" borderId="55" xfId="0" applyFont="1" applyFill="1" applyBorder="1"/>
    <xf numFmtId="0" fontId="4" fillId="6" borderId="44" xfId="0" applyFont="1" applyFill="1" applyBorder="1"/>
    <xf numFmtId="0" fontId="2" fillId="6" borderId="45" xfId="0" applyFont="1" applyFill="1" applyBorder="1" applyAlignment="1">
      <alignment horizontal="center"/>
    </xf>
    <xf numFmtId="0" fontId="4" fillId="6" borderId="53" xfId="0" applyFont="1" applyFill="1" applyBorder="1"/>
    <xf numFmtId="0" fontId="2" fillId="6" borderId="55" xfId="0" applyFont="1" applyFill="1" applyBorder="1" applyAlignment="1">
      <alignment horizontal="center"/>
    </xf>
    <xf numFmtId="0" fontId="0" fillId="8" borderId="67" xfId="0" applyFill="1" applyBorder="1"/>
    <xf numFmtId="0" fontId="0" fillId="8" borderId="68" xfId="0" applyFill="1" applyBorder="1"/>
    <xf numFmtId="0" fontId="0" fillId="0" borderId="70" xfId="0" applyBorder="1"/>
    <xf numFmtId="0" fontId="17" fillId="9" borderId="62" xfId="0" applyFont="1" applyFill="1" applyBorder="1" applyAlignment="1">
      <alignment horizontal="right"/>
    </xf>
    <xf numFmtId="0" fontId="17" fillId="9" borderId="57" xfId="0" applyFont="1" applyFill="1" applyBorder="1" applyAlignment="1">
      <alignment horizontal="right"/>
    </xf>
    <xf numFmtId="0" fontId="17" fillId="4" borderId="62" xfId="0" applyFont="1" applyFill="1" applyBorder="1" applyAlignment="1">
      <alignment horizontal="right"/>
    </xf>
    <xf numFmtId="0" fontId="17" fillId="4" borderId="57" xfId="0" applyFont="1" applyFill="1" applyBorder="1" applyAlignment="1">
      <alignment horizontal="right"/>
    </xf>
    <xf numFmtId="18" fontId="18" fillId="9" borderId="57" xfId="0" applyNumberFormat="1" applyFont="1" applyFill="1" applyBorder="1" applyAlignment="1">
      <alignment horizontal="left"/>
    </xf>
    <xf numFmtId="18" fontId="18" fillId="9" borderId="65" xfId="0" applyNumberFormat="1" applyFont="1" applyFill="1" applyBorder="1" applyAlignment="1">
      <alignment horizontal="left"/>
    </xf>
    <xf numFmtId="18" fontId="18" fillId="9" borderId="62" xfId="0" applyNumberFormat="1" applyFont="1" applyFill="1" applyBorder="1" applyAlignment="1">
      <alignment horizontal="left"/>
    </xf>
    <xf numFmtId="18" fontId="18" fillId="9" borderId="64" xfId="0" applyNumberFormat="1" applyFont="1" applyFill="1" applyBorder="1" applyAlignment="1">
      <alignment horizontal="left"/>
    </xf>
    <xf numFmtId="18" fontId="18" fillId="4" borderId="73" xfId="0" applyNumberFormat="1" applyFont="1" applyFill="1" applyBorder="1" applyAlignment="1">
      <alignment horizontal="left"/>
    </xf>
    <xf numFmtId="18" fontId="18" fillId="4" borderId="71" xfId="0" applyNumberFormat="1" applyFont="1" applyFill="1" applyBorder="1" applyAlignment="1">
      <alignment horizontal="left"/>
    </xf>
    <xf numFmtId="18" fontId="18" fillId="4" borderId="72" xfId="0" applyNumberFormat="1" applyFont="1" applyFill="1" applyBorder="1" applyAlignment="1">
      <alignment horizontal="left"/>
    </xf>
    <xf numFmtId="18" fontId="18" fillId="4" borderId="56" xfId="0" applyNumberFormat="1" applyFont="1" applyFill="1" applyBorder="1" applyAlignment="1">
      <alignment horizontal="left"/>
    </xf>
    <xf numFmtId="18" fontId="18" fillId="9" borderId="72" xfId="0" applyNumberFormat="1" applyFont="1" applyFill="1" applyBorder="1" applyAlignment="1">
      <alignment horizontal="left"/>
    </xf>
    <xf numFmtId="18" fontId="18" fillId="9" borderId="56" xfId="0" applyNumberFormat="1" applyFont="1" applyFill="1" applyBorder="1" applyAlignment="1">
      <alignment horizontal="left"/>
    </xf>
    <xf numFmtId="18" fontId="18" fillId="4" borderId="57" xfId="0" applyNumberFormat="1" applyFont="1" applyFill="1" applyBorder="1" applyAlignment="1">
      <alignment horizontal="left"/>
    </xf>
    <xf numFmtId="18" fontId="18" fillId="4" borderId="65" xfId="0" applyNumberFormat="1" applyFont="1" applyFill="1" applyBorder="1" applyAlignment="1">
      <alignment horizontal="left"/>
    </xf>
    <xf numFmtId="18" fontId="18" fillId="4" borderId="62" xfId="0" applyNumberFormat="1" applyFont="1" applyFill="1" applyBorder="1" applyAlignment="1">
      <alignment horizontal="left"/>
    </xf>
    <xf numFmtId="18" fontId="18" fillId="4" borderId="64" xfId="0" applyNumberFormat="1" applyFont="1" applyFill="1" applyBorder="1" applyAlignment="1">
      <alignment horizontal="left"/>
    </xf>
    <xf numFmtId="18" fontId="18" fillId="9" borderId="73" xfId="0" applyNumberFormat="1" applyFont="1" applyFill="1" applyBorder="1" applyAlignment="1">
      <alignment horizontal="left"/>
    </xf>
    <xf numFmtId="18" fontId="18" fillId="9" borderId="71" xfId="0" applyNumberFormat="1" applyFont="1" applyFill="1" applyBorder="1" applyAlignment="1">
      <alignment horizontal="left"/>
    </xf>
    <xf numFmtId="0" fontId="2" fillId="26" borderId="9" xfId="13" applyFont="1" applyBorder="1" applyAlignment="1">
      <alignment horizontal="center"/>
    </xf>
    <xf numFmtId="0" fontId="2" fillId="26" borderId="5" xfId="13" applyFont="1" applyBorder="1" applyAlignment="1">
      <alignment horizontal="center"/>
    </xf>
    <xf numFmtId="0" fontId="2" fillId="26" borderId="6" xfId="13" applyFont="1" applyBorder="1" applyAlignment="1">
      <alignment horizontal="center"/>
    </xf>
    <xf numFmtId="0" fontId="11" fillId="4" borderId="66" xfId="0" applyFont="1" applyFill="1" applyBorder="1" applyAlignment="1">
      <alignment horizontal="center" vertical="center" wrapText="1"/>
    </xf>
    <xf numFmtId="0" fontId="11" fillId="4" borderId="48" xfId="0" applyFont="1" applyFill="1" applyBorder="1" applyAlignment="1">
      <alignment horizontal="center" vertical="center" wrapText="1"/>
    </xf>
    <xf numFmtId="0" fontId="11" fillId="4" borderId="50" xfId="0" applyFont="1" applyFill="1" applyBorder="1" applyAlignment="1">
      <alignment horizontal="center" vertical="center" wrapText="1"/>
    </xf>
    <xf numFmtId="0" fontId="11" fillId="9" borderId="66" xfId="0" applyFont="1" applyFill="1" applyBorder="1" applyAlignment="1">
      <alignment horizontal="center" vertical="center" wrapText="1"/>
    </xf>
    <xf numFmtId="0" fontId="11" fillId="9" borderId="48" xfId="0" applyFont="1" applyFill="1" applyBorder="1" applyAlignment="1">
      <alignment horizontal="center" vertical="center" wrapText="1"/>
    </xf>
    <xf numFmtId="0" fontId="11" fillId="9" borderId="50" xfId="0" applyFont="1" applyFill="1" applyBorder="1" applyAlignment="1">
      <alignment horizontal="center" vertical="center" wrapText="1"/>
    </xf>
    <xf numFmtId="18" fontId="16" fillId="0" borderId="0" xfId="0" applyNumberFormat="1" applyFont="1" applyAlignment="1">
      <alignment horizontal="center"/>
    </xf>
    <xf numFmtId="49" fontId="11" fillId="9" borderId="66" xfId="0" applyNumberFormat="1" applyFont="1" applyFill="1" applyBorder="1" applyAlignment="1">
      <alignment horizontal="center" vertical="center" wrapText="1"/>
    </xf>
    <xf numFmtId="49" fontId="11" fillId="9" borderId="48" xfId="0" applyNumberFormat="1" applyFont="1" applyFill="1" applyBorder="1" applyAlignment="1">
      <alignment horizontal="center" vertical="center" wrapText="1"/>
    </xf>
    <xf numFmtId="49" fontId="11" fillId="9" borderId="50" xfId="0" applyNumberFormat="1" applyFont="1" applyFill="1" applyBorder="1" applyAlignment="1">
      <alignment horizontal="center" vertical="center" wrapText="1"/>
    </xf>
    <xf numFmtId="0" fontId="7" fillId="22" borderId="60" xfId="0" applyFont="1" applyFill="1" applyBorder="1" applyAlignment="1">
      <alignment horizontal="center"/>
    </xf>
    <xf numFmtId="0" fontId="7" fillId="22" borderId="69" xfId="0" applyFont="1" applyFill="1" applyBorder="1" applyAlignment="1">
      <alignment horizontal="center"/>
    </xf>
    <xf numFmtId="0" fontId="7" fillId="22" borderId="61" xfId="0" applyFont="1" applyFill="1" applyBorder="1" applyAlignment="1">
      <alignment horizontal="center"/>
    </xf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11" fillId="11" borderId="1" xfId="3" applyFont="1" applyBorder="1" applyAlignment="1">
      <alignment horizontal="center"/>
    </xf>
    <xf numFmtId="0" fontId="1" fillId="29" borderId="1" xfId="17" applyBorder="1" applyAlignment="1">
      <alignment horizontal="center"/>
    </xf>
    <xf numFmtId="0" fontId="7" fillId="26" borderId="44" xfId="13" applyFont="1" applyBorder="1" applyAlignment="1">
      <alignment horizontal="center"/>
    </xf>
    <xf numFmtId="0" fontId="7" fillId="26" borderId="45" xfId="13" applyFont="1" applyBorder="1" applyAlignment="1">
      <alignment horizontal="center"/>
    </xf>
    <xf numFmtId="0" fontId="7" fillId="11" borderId="44" xfId="3" applyFont="1" applyBorder="1" applyAlignment="1">
      <alignment horizontal="center"/>
    </xf>
    <xf numFmtId="0" fontId="7" fillId="11" borderId="45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2" borderId="5" xfId="1" applyFont="1" applyBorder="1" applyAlignment="1">
      <alignment horizontal="center"/>
    </xf>
    <xf numFmtId="0" fontId="6" fillId="3" borderId="2" xfId="2" applyFont="1" applyBorder="1" applyAlignment="1">
      <alignment horizont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  <xf numFmtId="0" fontId="5" fillId="10" borderId="60" xfId="2" applyFont="1" applyFill="1" applyBorder="1" applyAlignment="1">
      <alignment horizontal="center"/>
    </xf>
    <xf numFmtId="0" fontId="5" fillId="10" borderId="61" xfId="2" applyFont="1" applyFill="1" applyBorder="1" applyAlignment="1">
      <alignment horizontal="center"/>
    </xf>
    <xf numFmtId="0" fontId="0" fillId="0" borderId="74" xfId="0" applyBorder="1"/>
  </cellXfs>
  <cellStyles count="19">
    <cellStyle name="20% - Accent2" xfId="17" builtinId="34"/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4" xfId="18" builtinId="43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5" xfId="16" builtinId="48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49"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1D1D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3073" name="CreatePoolMatch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1230630</xdr:colOff>
          <xdr:row>11</xdr:row>
          <xdr:rowOff>0</xdr:rowOff>
        </xdr:from>
        <xdr:to>
          <xdr:col>4</xdr:col>
          <xdr:colOff>525780</xdr:colOff>
          <xdr:row>13</xdr:row>
          <xdr:rowOff>11430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11430</xdr:colOff>
          <xdr:row>2</xdr:row>
          <xdr:rowOff>11430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601980</xdr:colOff>
          <xdr:row>7</xdr:row>
          <xdr:rowOff>182880</xdr:rowOff>
        </xdr:from>
        <xdr:to>
          <xdr:col>2</xdr:col>
          <xdr:colOff>342900</xdr:colOff>
          <xdr:row>10</xdr:row>
          <xdr:rowOff>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11</xdr:row>
          <xdr:rowOff>0</xdr:rowOff>
        </xdr:from>
        <xdr:to>
          <xdr:col>3</xdr:col>
          <xdr:colOff>342900</xdr:colOff>
          <xdr:row>13</xdr:row>
          <xdr:rowOff>11430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0</xdr:rowOff>
        </xdr:from>
        <xdr:to>
          <xdr:col>10</xdr:col>
          <xdr:colOff>152400</xdr:colOff>
          <xdr:row>13</xdr:row>
          <xdr:rowOff>11430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uccstennisimages.share.zrok.io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I8"/>
  <sheetViews>
    <sheetView workbookViewId="0">
      <selection activeCell="G17" sqref="G17"/>
    </sheetView>
  </sheetViews>
  <sheetFormatPr defaultRowHeight="14.4" x14ac:dyDescent="0.55000000000000004"/>
  <cols>
    <col min="1" max="1" width="30.68359375" customWidth="1"/>
    <col min="2" max="2" width="8.68359375" customWidth="1"/>
    <col min="3" max="3" width="13.83984375" bestFit="1" customWidth="1"/>
    <col min="6" max="6" width="9.15625" customWidth="1"/>
  </cols>
  <sheetData>
    <row r="1" spans="1:9" ht="15.6" x14ac:dyDescent="0.6">
      <c r="A1" s="195" t="s">
        <v>96</v>
      </c>
      <c r="B1" s="196"/>
      <c r="C1" s="197"/>
      <c r="D1" s="68"/>
      <c r="E1" s="68"/>
      <c r="F1" s="198" t="s">
        <v>137</v>
      </c>
      <c r="G1" s="198"/>
      <c r="H1" s="198"/>
      <c r="I1" s="198"/>
    </row>
    <row r="2" spans="1:9" x14ac:dyDescent="0.55000000000000004">
      <c r="A2" s="86" t="s">
        <v>92</v>
      </c>
      <c r="B2" s="86" t="s">
        <v>93</v>
      </c>
      <c r="C2" s="86" t="s">
        <v>94</v>
      </c>
      <c r="F2" s="199" t="s">
        <v>136</v>
      </c>
      <c r="G2" s="199"/>
      <c r="H2" s="199"/>
      <c r="I2" s="199"/>
    </row>
    <row r="3" spans="1:9" x14ac:dyDescent="0.55000000000000004">
      <c r="A3" s="63" t="s">
        <v>95</v>
      </c>
      <c r="B3" s="73">
        <v>32</v>
      </c>
      <c r="C3" s="74" t="s">
        <v>97</v>
      </c>
    </row>
    <row r="4" spans="1:9" x14ac:dyDescent="0.55000000000000004">
      <c r="A4" s="79" t="s">
        <v>98</v>
      </c>
      <c r="B4" s="80">
        <v>3</v>
      </c>
      <c r="C4" s="85" t="s">
        <v>116</v>
      </c>
    </row>
    <row r="5" spans="1:9" x14ac:dyDescent="0.55000000000000004">
      <c r="A5" s="70" t="s">
        <v>100</v>
      </c>
      <c r="B5" s="81">
        <v>11</v>
      </c>
      <c r="C5" s="75" t="s">
        <v>111</v>
      </c>
    </row>
    <row r="6" spans="1:9" x14ac:dyDescent="0.55000000000000004">
      <c r="A6" s="71" t="s">
        <v>99</v>
      </c>
      <c r="B6" s="82">
        <v>11</v>
      </c>
      <c r="C6" s="76" t="s">
        <v>111</v>
      </c>
    </row>
    <row r="7" spans="1:9" x14ac:dyDescent="0.55000000000000004">
      <c r="A7" s="69" t="s">
        <v>101</v>
      </c>
      <c r="B7" s="83">
        <v>10</v>
      </c>
      <c r="C7" s="77" t="s">
        <v>111</v>
      </c>
    </row>
    <row r="8" spans="1:9" ht="15.6" x14ac:dyDescent="0.6">
      <c r="A8" s="72" t="s">
        <v>102</v>
      </c>
      <c r="B8" s="84">
        <v>0</v>
      </c>
      <c r="C8" s="78" t="s">
        <v>111</v>
      </c>
      <c r="F8" s="67"/>
    </row>
  </sheetData>
  <mergeCells count="3">
    <mergeCell ref="A1:C1"/>
    <mergeCell ref="F1:I1"/>
    <mergeCell ref="F2:I2"/>
  </mergeCells>
  <phoneticPr fontId="3" type="noConversion"/>
  <dataValidations disablePrompts="1"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hyperlinks>
    <hyperlink ref="F2" r:id="rId1" xr:uid="{252DE2D7-2D96-447B-B089-ED40250A41A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E4B1-E3A8-42F8-BAF0-DC1C8BD8CD8C}">
  <sheetPr codeName="Sheet13">
    <tabColor rgb="FFFFFF00"/>
  </sheetPr>
  <dimension ref="B1:M52"/>
  <sheetViews>
    <sheetView zoomScaleNormal="100" workbookViewId="0">
      <selection activeCell="K9" sqref="K9"/>
    </sheetView>
  </sheetViews>
  <sheetFormatPr defaultRowHeight="14.4" x14ac:dyDescent="0.55000000000000004"/>
  <cols>
    <col min="2" max="2" width="7.26171875" customWidth="1"/>
    <col min="3" max="4" width="9.15625" customWidth="1"/>
    <col min="6" max="7" width="9.15625" customWidth="1"/>
  </cols>
  <sheetData>
    <row r="1" spans="2:13" ht="14.7" thickBot="1" x14ac:dyDescent="0.6"/>
    <row r="2" spans="2:13" ht="21" thickTop="1" thickBot="1" x14ac:dyDescent="0.8">
      <c r="B2" s="192" t="s">
        <v>121</v>
      </c>
      <c r="C2" s="193"/>
      <c r="D2" s="193"/>
      <c r="E2" s="194"/>
      <c r="G2" s="92" t="s">
        <v>122</v>
      </c>
      <c r="I2" s="188">
        <f ca="1">NOW()</f>
        <v>45328.54268564815</v>
      </c>
      <c r="J2" s="188"/>
    </row>
    <row r="3" spans="2:13" ht="14.7" thickTop="1" x14ac:dyDescent="0.55000000000000004">
      <c r="B3" s="189" t="s">
        <v>125</v>
      </c>
      <c r="C3" s="159" t="s">
        <v>120</v>
      </c>
      <c r="D3" s="165"/>
      <c r="E3" s="166"/>
    </row>
    <row r="4" spans="2:13" ht="15" customHeight="1" x14ac:dyDescent="0.55000000000000004">
      <c r="B4" s="190"/>
      <c r="C4" s="98"/>
      <c r="D4" s="99"/>
      <c r="E4" s="238"/>
      <c r="G4" s="179" t="s">
        <v>124</v>
      </c>
      <c r="H4" s="180"/>
      <c r="I4" s="181"/>
      <c r="K4" s="94"/>
      <c r="L4" s="95" t="s">
        <v>123</v>
      </c>
      <c r="M4" s="96"/>
    </row>
    <row r="5" spans="2:13" ht="14.7" thickBot="1" x14ac:dyDescent="0.6">
      <c r="B5" s="191"/>
      <c r="C5" s="160" t="s">
        <v>119</v>
      </c>
      <c r="D5" s="163">
        <f>D3+2/24</f>
        <v>8.3333333333333329E-2</v>
      </c>
      <c r="E5" s="164"/>
      <c r="G5" s="98" t="s">
        <v>48</v>
      </c>
      <c r="H5" s="99" t="s">
        <v>49</v>
      </c>
      <c r="I5" s="97" t="s">
        <v>138</v>
      </c>
    </row>
    <row r="6" spans="2:13" ht="14.7" thickTop="1" x14ac:dyDescent="0.55000000000000004">
      <c r="B6" s="182" t="s">
        <v>126</v>
      </c>
      <c r="C6" s="161" t="s">
        <v>120</v>
      </c>
      <c r="D6" s="175"/>
      <c r="E6" s="176"/>
      <c r="G6" s="98" t="s">
        <v>50</v>
      </c>
      <c r="H6" s="99" t="s">
        <v>51</v>
      </c>
      <c r="I6" s="97" t="s">
        <v>138</v>
      </c>
    </row>
    <row r="7" spans="2:13" x14ac:dyDescent="0.55000000000000004">
      <c r="B7" s="183"/>
      <c r="C7" s="93"/>
      <c r="D7" s="100"/>
      <c r="E7" s="158"/>
      <c r="G7" s="98" t="s">
        <v>52</v>
      </c>
      <c r="H7" s="99" t="s">
        <v>53</v>
      </c>
      <c r="I7" s="97" t="s">
        <v>138</v>
      </c>
    </row>
    <row r="8" spans="2:13" ht="14.7" thickBot="1" x14ac:dyDescent="0.6">
      <c r="B8" s="184"/>
      <c r="C8" s="162" t="s">
        <v>119</v>
      </c>
      <c r="D8" s="173">
        <f>D6+2/24</f>
        <v>8.3333333333333329E-2</v>
      </c>
      <c r="E8" s="174"/>
      <c r="G8" s="98" t="s">
        <v>54</v>
      </c>
      <c r="H8" s="99" t="s">
        <v>55</v>
      </c>
      <c r="I8" s="97" t="s">
        <v>138</v>
      </c>
    </row>
    <row r="9" spans="2:13" ht="14.7" thickTop="1" x14ac:dyDescent="0.55000000000000004">
      <c r="B9" s="185" t="s">
        <v>127</v>
      </c>
      <c r="C9" s="159" t="s">
        <v>120</v>
      </c>
      <c r="D9" s="171"/>
      <c r="E9" s="172"/>
      <c r="G9" s="98" t="s">
        <v>56</v>
      </c>
      <c r="H9" s="99" t="s">
        <v>57</v>
      </c>
      <c r="I9" s="97" t="s">
        <v>138</v>
      </c>
    </row>
    <row r="10" spans="2:13" x14ac:dyDescent="0.55000000000000004">
      <c r="B10" s="186"/>
      <c r="C10" s="93"/>
      <c r="D10" s="100"/>
      <c r="E10" s="158"/>
      <c r="G10" s="98" t="s">
        <v>58</v>
      </c>
      <c r="H10" s="99" t="s">
        <v>59</v>
      </c>
      <c r="I10" s="97" t="s">
        <v>138</v>
      </c>
    </row>
    <row r="11" spans="2:13" ht="14.7" thickBot="1" x14ac:dyDescent="0.6">
      <c r="B11" s="187"/>
      <c r="C11" s="160" t="s">
        <v>119</v>
      </c>
      <c r="D11" s="177">
        <f>D9+2/24</f>
        <v>8.3333333333333329E-2</v>
      </c>
      <c r="E11" s="178"/>
      <c r="G11" s="98" t="s">
        <v>60</v>
      </c>
      <c r="H11" s="99" t="s">
        <v>61</v>
      </c>
      <c r="I11" s="97" t="s">
        <v>138</v>
      </c>
    </row>
    <row r="12" spans="2:13" ht="14.7" thickTop="1" x14ac:dyDescent="0.55000000000000004">
      <c r="B12" s="182" t="s">
        <v>128</v>
      </c>
      <c r="C12" s="161" t="s">
        <v>120</v>
      </c>
      <c r="D12" s="169"/>
      <c r="E12" s="170"/>
      <c r="G12" s="98" t="s">
        <v>62</v>
      </c>
      <c r="H12" s="99" t="s">
        <v>63</v>
      </c>
      <c r="I12" s="97" t="s">
        <v>138</v>
      </c>
    </row>
    <row r="13" spans="2:13" x14ac:dyDescent="0.55000000000000004">
      <c r="B13" s="183"/>
      <c r="C13" s="93"/>
      <c r="D13" s="100"/>
      <c r="E13" s="158"/>
      <c r="G13" s="98" t="s">
        <v>64</v>
      </c>
      <c r="H13" s="99" t="s">
        <v>65</v>
      </c>
      <c r="I13" s="97" t="s">
        <v>138</v>
      </c>
    </row>
    <row r="14" spans="2:13" ht="14.7" thickBot="1" x14ac:dyDescent="0.6">
      <c r="B14" s="184"/>
      <c r="C14" s="162" t="s">
        <v>119</v>
      </c>
      <c r="D14" s="167">
        <f>D12+2/24</f>
        <v>8.3333333333333329E-2</v>
      </c>
      <c r="E14" s="168"/>
      <c r="G14" s="98" t="s">
        <v>66</v>
      </c>
      <c r="H14" s="99" t="s">
        <v>67</v>
      </c>
      <c r="I14" s="97" t="s">
        <v>138</v>
      </c>
    </row>
    <row r="15" spans="2:13" ht="14.7" thickTop="1" x14ac:dyDescent="0.55000000000000004">
      <c r="B15" s="185" t="s">
        <v>129</v>
      </c>
      <c r="C15" s="159" t="s">
        <v>120</v>
      </c>
      <c r="D15" s="171"/>
      <c r="E15" s="172"/>
      <c r="G15" s="98" t="s">
        <v>68</v>
      </c>
      <c r="H15" s="99" t="s">
        <v>69</v>
      </c>
      <c r="I15" s="97" t="s">
        <v>138</v>
      </c>
    </row>
    <row r="16" spans="2:13" ht="15" customHeight="1" x14ac:dyDescent="0.55000000000000004">
      <c r="B16" s="186"/>
      <c r="C16" s="93"/>
      <c r="D16" s="100"/>
      <c r="E16" s="158"/>
      <c r="G16" s="98" t="s">
        <v>70</v>
      </c>
      <c r="H16" s="99" t="s">
        <v>71</v>
      </c>
      <c r="I16" s="97" t="s">
        <v>138</v>
      </c>
    </row>
    <row r="17" spans="2:9" ht="15" customHeight="1" thickBot="1" x14ac:dyDescent="0.6">
      <c r="B17" s="187"/>
      <c r="C17" s="160" t="s">
        <v>119</v>
      </c>
      <c r="D17" s="177">
        <f>D15+2/24</f>
        <v>8.3333333333333329E-2</v>
      </c>
      <c r="E17" s="178"/>
      <c r="G17" s="98" t="s">
        <v>72</v>
      </c>
      <c r="H17" s="99" t="s">
        <v>73</v>
      </c>
      <c r="I17" s="97" t="s">
        <v>138</v>
      </c>
    </row>
    <row r="18" spans="2:9" ht="14.7" thickTop="1" x14ac:dyDescent="0.55000000000000004">
      <c r="B18" s="182" t="s">
        <v>130</v>
      </c>
      <c r="C18" s="161" t="s">
        <v>120</v>
      </c>
      <c r="D18" s="169"/>
      <c r="E18" s="170"/>
      <c r="G18" s="98" t="s">
        <v>74</v>
      </c>
      <c r="H18" s="99" t="s">
        <v>75</v>
      </c>
      <c r="I18" s="97" t="s">
        <v>138</v>
      </c>
    </row>
    <row r="19" spans="2:9" x14ac:dyDescent="0.55000000000000004">
      <c r="B19" s="183"/>
      <c r="C19" s="93"/>
      <c r="D19" s="100"/>
      <c r="E19" s="158"/>
      <c r="G19" s="98" t="s">
        <v>77</v>
      </c>
      <c r="H19" s="99" t="s">
        <v>79</v>
      </c>
      <c r="I19" s="97" t="s">
        <v>138</v>
      </c>
    </row>
    <row r="20" spans="2:9" ht="15" customHeight="1" thickBot="1" x14ac:dyDescent="0.6">
      <c r="B20" s="184"/>
      <c r="C20" s="162" t="s">
        <v>119</v>
      </c>
      <c r="D20" s="167">
        <f>D18+2/24</f>
        <v>8.3333333333333329E-2</v>
      </c>
      <c r="E20" s="168"/>
      <c r="G20" s="98" t="s">
        <v>81</v>
      </c>
      <c r="H20" s="99" t="s">
        <v>83</v>
      </c>
      <c r="I20" s="97" t="s">
        <v>138</v>
      </c>
    </row>
    <row r="21" spans="2:9" ht="14.7" thickTop="1" x14ac:dyDescent="0.55000000000000004">
      <c r="B21" s="185" t="s">
        <v>131</v>
      </c>
      <c r="C21" s="159" t="s">
        <v>120</v>
      </c>
      <c r="D21" s="171"/>
      <c r="E21" s="172"/>
      <c r="G21" s="98" t="s">
        <v>48</v>
      </c>
      <c r="H21" s="99" t="s">
        <v>50</v>
      </c>
      <c r="I21" s="97" t="s">
        <v>138</v>
      </c>
    </row>
    <row r="22" spans="2:9" x14ac:dyDescent="0.55000000000000004">
      <c r="B22" s="186"/>
      <c r="C22" s="93"/>
      <c r="D22" s="100"/>
      <c r="E22" s="158"/>
      <c r="G22" s="98" t="s">
        <v>49</v>
      </c>
      <c r="H22" s="99" t="s">
        <v>51</v>
      </c>
      <c r="I22" s="97" t="s">
        <v>138</v>
      </c>
    </row>
    <row r="23" spans="2:9" ht="14.7" thickBot="1" x14ac:dyDescent="0.6">
      <c r="B23" s="187"/>
      <c r="C23" s="160" t="s">
        <v>119</v>
      </c>
      <c r="D23" s="177">
        <f>D21+2/24</f>
        <v>8.3333333333333329E-2</v>
      </c>
      <c r="E23" s="178"/>
      <c r="G23" s="98" t="s">
        <v>52</v>
      </c>
      <c r="H23" s="99" t="s">
        <v>54</v>
      </c>
      <c r="I23" s="97" t="s">
        <v>138</v>
      </c>
    </row>
    <row r="24" spans="2:9" ht="14.7" thickTop="1" x14ac:dyDescent="0.55000000000000004">
      <c r="G24" s="98" t="s">
        <v>53</v>
      </c>
      <c r="H24" s="99" t="s">
        <v>55</v>
      </c>
      <c r="I24" s="97" t="s">
        <v>138</v>
      </c>
    </row>
    <row r="25" spans="2:9" x14ac:dyDescent="0.55000000000000004">
      <c r="G25" s="98" t="s">
        <v>56</v>
      </c>
      <c r="H25" s="99" t="s">
        <v>58</v>
      </c>
      <c r="I25" s="97" t="s">
        <v>138</v>
      </c>
    </row>
    <row r="26" spans="2:9" x14ac:dyDescent="0.55000000000000004">
      <c r="G26" s="98" t="s">
        <v>57</v>
      </c>
      <c r="H26" s="99" t="s">
        <v>59</v>
      </c>
      <c r="I26" s="97" t="s">
        <v>138</v>
      </c>
    </row>
    <row r="27" spans="2:9" x14ac:dyDescent="0.55000000000000004">
      <c r="G27" s="98" t="s">
        <v>60</v>
      </c>
      <c r="H27" s="99" t="s">
        <v>62</v>
      </c>
      <c r="I27" s="97" t="s">
        <v>138</v>
      </c>
    </row>
    <row r="28" spans="2:9" x14ac:dyDescent="0.55000000000000004">
      <c r="G28" s="98" t="s">
        <v>61</v>
      </c>
      <c r="H28" s="99" t="s">
        <v>63</v>
      </c>
      <c r="I28" s="97" t="s">
        <v>138</v>
      </c>
    </row>
    <row r="29" spans="2:9" x14ac:dyDescent="0.55000000000000004">
      <c r="G29" s="98" t="s">
        <v>64</v>
      </c>
      <c r="H29" s="99" t="s">
        <v>66</v>
      </c>
      <c r="I29" s="97" t="s">
        <v>138</v>
      </c>
    </row>
    <row r="30" spans="2:9" x14ac:dyDescent="0.55000000000000004">
      <c r="G30" s="98" t="s">
        <v>65</v>
      </c>
      <c r="H30" s="99" t="s">
        <v>67</v>
      </c>
      <c r="I30" s="97" t="s">
        <v>138</v>
      </c>
    </row>
    <row r="31" spans="2:9" x14ac:dyDescent="0.55000000000000004">
      <c r="G31" s="98" t="s">
        <v>68</v>
      </c>
      <c r="H31" s="99" t="s">
        <v>70</v>
      </c>
      <c r="I31" s="97" t="s">
        <v>138</v>
      </c>
    </row>
    <row r="32" spans="2:9" x14ac:dyDescent="0.55000000000000004">
      <c r="G32" s="98" t="s">
        <v>69</v>
      </c>
      <c r="H32" s="99" t="s">
        <v>71</v>
      </c>
      <c r="I32" s="97" t="s">
        <v>138</v>
      </c>
    </row>
    <row r="33" spans="7:9" x14ac:dyDescent="0.55000000000000004">
      <c r="G33" s="98" t="s">
        <v>72</v>
      </c>
      <c r="H33" s="99" t="s">
        <v>74</v>
      </c>
      <c r="I33" s="97" t="s">
        <v>138</v>
      </c>
    </row>
    <row r="34" spans="7:9" x14ac:dyDescent="0.55000000000000004">
      <c r="G34" s="98" t="s">
        <v>73</v>
      </c>
      <c r="H34" s="99" t="s">
        <v>75</v>
      </c>
      <c r="I34" s="97" t="s">
        <v>138</v>
      </c>
    </row>
    <row r="35" spans="7:9" x14ac:dyDescent="0.55000000000000004">
      <c r="G35" s="98" t="s">
        <v>77</v>
      </c>
      <c r="H35" s="99" t="s">
        <v>81</v>
      </c>
      <c r="I35" s="97" t="s">
        <v>138</v>
      </c>
    </row>
    <row r="36" spans="7:9" x14ac:dyDescent="0.55000000000000004">
      <c r="G36" s="98" t="s">
        <v>79</v>
      </c>
      <c r="H36" s="99" t="s">
        <v>83</v>
      </c>
      <c r="I36" s="97" t="s">
        <v>138</v>
      </c>
    </row>
    <row r="37" spans="7:9" x14ac:dyDescent="0.55000000000000004">
      <c r="G37" s="98" t="s">
        <v>48</v>
      </c>
      <c r="H37" s="99" t="s">
        <v>51</v>
      </c>
      <c r="I37" s="97" t="s">
        <v>138</v>
      </c>
    </row>
    <row r="38" spans="7:9" x14ac:dyDescent="0.55000000000000004">
      <c r="G38" s="98" t="s">
        <v>49</v>
      </c>
      <c r="H38" s="99" t="s">
        <v>50</v>
      </c>
      <c r="I38" s="97" t="s">
        <v>138</v>
      </c>
    </row>
    <row r="39" spans="7:9" x14ac:dyDescent="0.55000000000000004">
      <c r="G39" s="98" t="s">
        <v>52</v>
      </c>
      <c r="H39" s="99" t="s">
        <v>55</v>
      </c>
      <c r="I39" s="97" t="s">
        <v>138</v>
      </c>
    </row>
    <row r="40" spans="7:9" x14ac:dyDescent="0.55000000000000004">
      <c r="G40" s="98" t="s">
        <v>53</v>
      </c>
      <c r="H40" s="99" t="s">
        <v>54</v>
      </c>
      <c r="I40" s="97" t="s">
        <v>138</v>
      </c>
    </row>
    <row r="41" spans="7:9" x14ac:dyDescent="0.55000000000000004">
      <c r="G41" s="98" t="s">
        <v>56</v>
      </c>
      <c r="H41" s="99" t="s">
        <v>59</v>
      </c>
      <c r="I41" s="97" t="s">
        <v>138</v>
      </c>
    </row>
    <row r="42" spans="7:9" x14ac:dyDescent="0.55000000000000004">
      <c r="G42" s="98" t="s">
        <v>57</v>
      </c>
      <c r="H42" s="99" t="s">
        <v>58</v>
      </c>
      <c r="I42" s="97" t="s">
        <v>138</v>
      </c>
    </row>
    <row r="43" spans="7:9" x14ac:dyDescent="0.55000000000000004">
      <c r="G43" s="98" t="s">
        <v>60</v>
      </c>
      <c r="H43" s="99" t="s">
        <v>63</v>
      </c>
      <c r="I43" s="97" t="s">
        <v>138</v>
      </c>
    </row>
    <row r="44" spans="7:9" x14ac:dyDescent="0.55000000000000004">
      <c r="G44" s="98" t="s">
        <v>61</v>
      </c>
      <c r="H44" s="99" t="s">
        <v>62</v>
      </c>
      <c r="I44" s="97" t="s">
        <v>138</v>
      </c>
    </row>
    <row r="45" spans="7:9" x14ac:dyDescent="0.55000000000000004">
      <c r="G45" s="98" t="s">
        <v>64</v>
      </c>
      <c r="H45" s="99" t="s">
        <v>67</v>
      </c>
      <c r="I45" s="97" t="s">
        <v>138</v>
      </c>
    </row>
    <row r="46" spans="7:9" x14ac:dyDescent="0.55000000000000004">
      <c r="G46" s="98" t="s">
        <v>65</v>
      </c>
      <c r="H46" s="99" t="s">
        <v>66</v>
      </c>
      <c r="I46" s="97" t="s">
        <v>138</v>
      </c>
    </row>
    <row r="47" spans="7:9" x14ac:dyDescent="0.55000000000000004">
      <c r="G47" s="98" t="s">
        <v>68</v>
      </c>
      <c r="H47" s="99" t="s">
        <v>71</v>
      </c>
      <c r="I47" s="97" t="s">
        <v>138</v>
      </c>
    </row>
    <row r="48" spans="7:9" x14ac:dyDescent="0.55000000000000004">
      <c r="G48" s="98" t="s">
        <v>69</v>
      </c>
      <c r="H48" s="99" t="s">
        <v>70</v>
      </c>
      <c r="I48" s="97" t="s">
        <v>138</v>
      </c>
    </row>
    <row r="49" spans="7:9" x14ac:dyDescent="0.55000000000000004">
      <c r="G49" s="98" t="s">
        <v>72</v>
      </c>
      <c r="H49" s="99" t="s">
        <v>75</v>
      </c>
      <c r="I49" s="97" t="s">
        <v>138</v>
      </c>
    </row>
    <row r="50" spans="7:9" x14ac:dyDescent="0.55000000000000004">
      <c r="G50" s="98" t="s">
        <v>73</v>
      </c>
      <c r="H50" s="99" t="s">
        <v>74</v>
      </c>
      <c r="I50" s="97" t="s">
        <v>138</v>
      </c>
    </row>
    <row r="51" spans="7:9" x14ac:dyDescent="0.55000000000000004">
      <c r="G51" s="98" t="s">
        <v>77</v>
      </c>
      <c r="H51" s="99" t="s">
        <v>83</v>
      </c>
      <c r="I51" s="97" t="s">
        <v>138</v>
      </c>
    </row>
    <row r="52" spans="7:9" x14ac:dyDescent="0.55000000000000004">
      <c r="G52" s="98" t="s">
        <v>79</v>
      </c>
      <c r="H52" s="99" t="s">
        <v>81</v>
      </c>
      <c r="I52" s="97" t="s">
        <v>138</v>
      </c>
    </row>
  </sheetData>
  <mergeCells count="24">
    <mergeCell ref="G4:I4"/>
    <mergeCell ref="B18:B20"/>
    <mergeCell ref="B21:B23"/>
    <mergeCell ref="I2:J2"/>
    <mergeCell ref="D23:E23"/>
    <mergeCell ref="D21:E21"/>
    <mergeCell ref="D20:E20"/>
    <mergeCell ref="B3:B5"/>
    <mergeCell ref="B6:B8"/>
    <mergeCell ref="B9:B11"/>
    <mergeCell ref="B12:B14"/>
    <mergeCell ref="B15:B17"/>
    <mergeCell ref="B2:E2"/>
    <mergeCell ref="D18:E18"/>
    <mergeCell ref="D17:E17"/>
    <mergeCell ref="D15:E15"/>
    <mergeCell ref="D5:E5"/>
    <mergeCell ref="D3:E3"/>
    <mergeCell ref="D14:E14"/>
    <mergeCell ref="D12:E12"/>
    <mergeCell ref="D9:E9"/>
    <mergeCell ref="D8:E8"/>
    <mergeCell ref="D6:E6"/>
    <mergeCell ref="D11:E11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reatePoolMatches">
          <controlPr defaultSize="0" autoLine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12</xdr:col>
                <xdr:colOff>548640</xdr:colOff>
                <xdr:row>2</xdr:row>
                <xdr:rowOff>0</xdr:rowOff>
              </to>
            </anchor>
          </controlPr>
        </control>
      </mc:Choice>
      <mc:Fallback>
        <control shapeId="3073" r:id="rId4" name="CreatePoolMatch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tabSelected="1" zoomScale="112" zoomScaleNormal="112" workbookViewId="0">
      <selection activeCell="J11" sqref="J11"/>
    </sheetView>
  </sheetViews>
  <sheetFormatPr defaultRowHeight="14.4" x14ac:dyDescent="0.55000000000000004"/>
  <cols>
    <col min="1" max="1" width="5.68359375" style="1" customWidth="1"/>
    <col min="2" max="2" width="25.68359375" customWidth="1"/>
    <col min="3" max="3" width="9.68359375" customWidth="1"/>
    <col min="5" max="5" width="9.15625" customWidth="1"/>
    <col min="6" max="6" width="20" customWidth="1"/>
  </cols>
  <sheetData>
    <row r="1" spans="1:6" ht="15.6" x14ac:dyDescent="0.6">
      <c r="A1" s="36" t="s">
        <v>9</v>
      </c>
      <c r="B1" s="18" t="s">
        <v>10</v>
      </c>
      <c r="C1" s="17" t="s">
        <v>11</v>
      </c>
      <c r="E1" s="38"/>
      <c r="F1" s="38"/>
    </row>
    <row r="2" spans="1:6" x14ac:dyDescent="0.55000000000000004">
      <c r="A2" s="1">
        <v>1</v>
      </c>
      <c r="B2" t="s">
        <v>20</v>
      </c>
      <c r="C2" t="s">
        <v>48</v>
      </c>
      <c r="E2" t="b">
        <f>NOT(COUNTIF(Pools!$A$1:$H$10,B2))</f>
        <v>0</v>
      </c>
      <c r="F2" t="str" cm="1">
        <f t="array" ref="F2">IFERROR(_xlfn._xlws.FILTER(B2:B33,E2:E33),"")</f>
        <v/>
      </c>
    </row>
    <row r="3" spans="1:6" x14ac:dyDescent="0.55000000000000004">
      <c r="A3" s="1">
        <v>2</v>
      </c>
      <c r="B3" t="s">
        <v>21</v>
      </c>
      <c r="C3" t="s">
        <v>49</v>
      </c>
      <c r="E3" t="b">
        <f>NOT(COUNTIF(Pools!$A$1:$H$10,C3))</f>
        <v>0</v>
      </c>
    </row>
    <row r="4" spans="1:6" x14ac:dyDescent="0.55000000000000004">
      <c r="A4" s="1">
        <v>3</v>
      </c>
      <c r="B4" t="s">
        <v>22</v>
      </c>
      <c r="C4" t="s">
        <v>50</v>
      </c>
      <c r="E4" t="b">
        <f>NOT(COUNTIF(Pools!$A$1:$H$10,C4))</f>
        <v>0</v>
      </c>
    </row>
    <row r="5" spans="1:6" x14ac:dyDescent="0.55000000000000004">
      <c r="A5" s="1">
        <v>4</v>
      </c>
      <c r="B5" t="s">
        <v>23</v>
      </c>
      <c r="C5" t="s">
        <v>51</v>
      </c>
      <c r="E5" t="b">
        <f>NOT(COUNTIF(Pools!$A$1:$H$10,C5))</f>
        <v>0</v>
      </c>
    </row>
    <row r="6" spans="1:6" x14ac:dyDescent="0.55000000000000004">
      <c r="A6" s="1">
        <v>5</v>
      </c>
      <c r="B6" t="s">
        <v>24</v>
      </c>
      <c r="C6" t="s">
        <v>52</v>
      </c>
      <c r="E6" t="b">
        <f>NOT(COUNTIF(Pools!$A$1:$H$10,C6))</f>
        <v>0</v>
      </c>
    </row>
    <row r="7" spans="1:6" x14ac:dyDescent="0.55000000000000004">
      <c r="A7" s="1">
        <v>6</v>
      </c>
      <c r="B7" t="s">
        <v>25</v>
      </c>
      <c r="C7" t="s">
        <v>53</v>
      </c>
      <c r="E7" t="b">
        <f>NOT(COUNTIF(Pools!$A$1:$H$10,C7))</f>
        <v>0</v>
      </c>
    </row>
    <row r="8" spans="1:6" x14ac:dyDescent="0.55000000000000004">
      <c r="A8" s="1">
        <v>7</v>
      </c>
      <c r="B8" t="s">
        <v>26</v>
      </c>
      <c r="C8" t="s">
        <v>54</v>
      </c>
      <c r="E8" t="b">
        <f>NOT(COUNTIF(Pools!$A$1:$H$10,C8))</f>
        <v>0</v>
      </c>
    </row>
    <row r="9" spans="1:6" x14ac:dyDescent="0.55000000000000004">
      <c r="A9" s="1">
        <v>8</v>
      </c>
      <c r="B9" t="s">
        <v>27</v>
      </c>
      <c r="C9" t="s">
        <v>55</v>
      </c>
      <c r="E9" t="b">
        <f>NOT(COUNTIF(Pools!$A$1:$H$10,C9))</f>
        <v>0</v>
      </c>
    </row>
    <row r="10" spans="1:6" x14ac:dyDescent="0.55000000000000004">
      <c r="A10" s="1">
        <v>9</v>
      </c>
      <c r="B10" t="s">
        <v>28</v>
      </c>
      <c r="C10" t="s">
        <v>56</v>
      </c>
      <c r="E10" t="b">
        <f>NOT(COUNTIF(Pools!$A$1:$H$10,C10))</f>
        <v>0</v>
      </c>
    </row>
    <row r="11" spans="1:6" x14ac:dyDescent="0.55000000000000004">
      <c r="A11" s="1">
        <v>10</v>
      </c>
      <c r="B11" t="s">
        <v>29</v>
      </c>
      <c r="C11" t="s">
        <v>57</v>
      </c>
      <c r="E11" t="b">
        <f>NOT(COUNTIF(Pools!$A$1:$H$10,C11))</f>
        <v>0</v>
      </c>
    </row>
    <row r="12" spans="1:6" x14ac:dyDescent="0.55000000000000004">
      <c r="A12" s="1">
        <v>11</v>
      </c>
      <c r="B12" t="s">
        <v>30</v>
      </c>
      <c r="C12" t="s">
        <v>58</v>
      </c>
      <c r="E12" t="b">
        <f>NOT(COUNTIF(Pools!$A$1:$H$10,C12))</f>
        <v>0</v>
      </c>
    </row>
    <row r="13" spans="1:6" x14ac:dyDescent="0.55000000000000004">
      <c r="A13" s="1">
        <v>12</v>
      </c>
      <c r="B13" t="s">
        <v>31</v>
      </c>
      <c r="C13" t="s">
        <v>59</v>
      </c>
      <c r="E13" t="b">
        <f>NOT(COUNTIF(Pools!$A$1:$H$10,C13))</f>
        <v>0</v>
      </c>
    </row>
    <row r="14" spans="1:6" x14ac:dyDescent="0.55000000000000004">
      <c r="A14" s="1">
        <v>13</v>
      </c>
      <c r="B14" t="s">
        <v>32</v>
      </c>
      <c r="C14" t="s">
        <v>60</v>
      </c>
      <c r="E14" t="b">
        <f>NOT(COUNTIF(Pools!$A$1:$H$10,C14))</f>
        <v>0</v>
      </c>
    </row>
    <row r="15" spans="1:6" x14ac:dyDescent="0.55000000000000004">
      <c r="A15" s="1">
        <v>14</v>
      </c>
      <c r="B15" t="s">
        <v>33</v>
      </c>
      <c r="C15" t="s">
        <v>61</v>
      </c>
      <c r="E15" t="b">
        <f>NOT(COUNTIF(Pools!$A$1:$H$10,C15))</f>
        <v>0</v>
      </c>
    </row>
    <row r="16" spans="1:6" x14ac:dyDescent="0.55000000000000004">
      <c r="A16" s="1">
        <v>15</v>
      </c>
      <c r="B16" t="s">
        <v>34</v>
      </c>
      <c r="C16" t="s">
        <v>62</v>
      </c>
      <c r="E16" t="b">
        <f>NOT(COUNTIF(Pools!$A$1:$H$10,C16))</f>
        <v>0</v>
      </c>
    </row>
    <row r="17" spans="1:5" x14ac:dyDescent="0.55000000000000004">
      <c r="A17" s="1">
        <v>16</v>
      </c>
      <c r="B17" t="s">
        <v>35</v>
      </c>
      <c r="C17" t="s">
        <v>63</v>
      </c>
      <c r="E17" t="b">
        <f>NOT(COUNTIF(Pools!$A$1:$H$10,C17))</f>
        <v>0</v>
      </c>
    </row>
    <row r="18" spans="1:5" x14ac:dyDescent="0.55000000000000004">
      <c r="A18" s="1">
        <v>17</v>
      </c>
      <c r="B18" t="s">
        <v>36</v>
      </c>
      <c r="C18" t="s">
        <v>64</v>
      </c>
      <c r="E18" t="b">
        <f>NOT(COUNTIF(Pools!$A$1:$H$10,C18))</f>
        <v>0</v>
      </c>
    </row>
    <row r="19" spans="1:5" x14ac:dyDescent="0.55000000000000004">
      <c r="A19" s="1">
        <v>18</v>
      </c>
      <c r="B19" t="s">
        <v>37</v>
      </c>
      <c r="C19" t="s">
        <v>65</v>
      </c>
      <c r="E19" t="b">
        <f>NOT(COUNTIF(Pools!$A$1:$H$10,C19))</f>
        <v>0</v>
      </c>
    </row>
    <row r="20" spans="1:5" x14ac:dyDescent="0.55000000000000004">
      <c r="A20" s="1">
        <v>19</v>
      </c>
      <c r="B20" t="s">
        <v>38</v>
      </c>
      <c r="C20" t="s">
        <v>66</v>
      </c>
      <c r="E20" t="b">
        <f>NOT(COUNTIF(Pools!$A$1:$H$10,C20))</f>
        <v>0</v>
      </c>
    </row>
    <row r="21" spans="1:5" x14ac:dyDescent="0.55000000000000004">
      <c r="A21" s="1">
        <v>20</v>
      </c>
      <c r="B21" t="s">
        <v>39</v>
      </c>
      <c r="C21" t="s">
        <v>67</v>
      </c>
      <c r="E21" t="b">
        <f>NOT(COUNTIF(Pools!$A$1:$H$10,C21))</f>
        <v>0</v>
      </c>
    </row>
    <row r="22" spans="1:5" x14ac:dyDescent="0.55000000000000004">
      <c r="A22" s="1">
        <v>21</v>
      </c>
      <c r="B22" t="s">
        <v>40</v>
      </c>
      <c r="C22" t="s">
        <v>68</v>
      </c>
      <c r="E22" t="b">
        <f>NOT(COUNTIF(Pools!$A$1:$H$10,C22))</f>
        <v>0</v>
      </c>
    </row>
    <row r="23" spans="1:5" x14ac:dyDescent="0.55000000000000004">
      <c r="A23" s="1">
        <v>22</v>
      </c>
      <c r="B23" t="s">
        <v>41</v>
      </c>
      <c r="C23" t="s">
        <v>69</v>
      </c>
      <c r="E23" t="b">
        <f>NOT(COUNTIF(Pools!$A$1:$H$10,C23))</f>
        <v>0</v>
      </c>
    </row>
    <row r="24" spans="1:5" x14ac:dyDescent="0.55000000000000004">
      <c r="A24" s="1">
        <v>23</v>
      </c>
      <c r="B24" t="s">
        <v>42</v>
      </c>
      <c r="C24" t="s">
        <v>70</v>
      </c>
      <c r="E24" t="b">
        <f>NOT(COUNTIF(Pools!$A$1:$H$10,C24))</f>
        <v>0</v>
      </c>
    </row>
    <row r="25" spans="1:5" x14ac:dyDescent="0.55000000000000004">
      <c r="A25" s="1">
        <v>24</v>
      </c>
      <c r="B25" t="s">
        <v>43</v>
      </c>
      <c r="C25" t="s">
        <v>71</v>
      </c>
      <c r="E25" t="b">
        <f>NOT(COUNTIF(Pools!$A$1:$H$10,C25))</f>
        <v>0</v>
      </c>
    </row>
    <row r="26" spans="1:5" x14ac:dyDescent="0.55000000000000004">
      <c r="A26" s="1">
        <v>25</v>
      </c>
      <c r="B26" t="s">
        <v>44</v>
      </c>
      <c r="C26" t="s">
        <v>72</v>
      </c>
      <c r="E26" t="b">
        <f>NOT(COUNTIF(Pools!$A$1:$H$10,C26))</f>
        <v>0</v>
      </c>
    </row>
    <row r="27" spans="1:5" x14ac:dyDescent="0.55000000000000004">
      <c r="A27" s="1">
        <v>26</v>
      </c>
      <c r="B27" t="s">
        <v>45</v>
      </c>
      <c r="C27" t="s">
        <v>73</v>
      </c>
      <c r="E27" t="b">
        <f>NOT(COUNTIF(Pools!$A$1:$H$10,C27))</f>
        <v>0</v>
      </c>
    </row>
    <row r="28" spans="1:5" x14ac:dyDescent="0.55000000000000004">
      <c r="A28" s="1">
        <v>27</v>
      </c>
      <c r="B28" t="s">
        <v>46</v>
      </c>
      <c r="C28" t="s">
        <v>74</v>
      </c>
      <c r="E28" t="b">
        <f>NOT(COUNTIF(Pools!$A$1:$H$10,C28))</f>
        <v>0</v>
      </c>
    </row>
    <row r="29" spans="1:5" x14ac:dyDescent="0.55000000000000004">
      <c r="A29" s="1">
        <v>28</v>
      </c>
      <c r="B29" t="s">
        <v>47</v>
      </c>
      <c r="C29" t="s">
        <v>75</v>
      </c>
      <c r="E29" t="b">
        <f>NOT(COUNTIF(Pools!$A$1:$H$10,C29))</f>
        <v>0</v>
      </c>
    </row>
    <row r="30" spans="1:5" x14ac:dyDescent="0.55000000000000004">
      <c r="A30" s="1">
        <v>29</v>
      </c>
      <c r="B30" t="s">
        <v>76</v>
      </c>
      <c r="C30" t="s">
        <v>77</v>
      </c>
      <c r="E30" t="b">
        <f>NOT(COUNTIF(Pools!$A$1:$H$10,C30))</f>
        <v>0</v>
      </c>
    </row>
    <row r="31" spans="1:5" x14ac:dyDescent="0.55000000000000004">
      <c r="A31" s="1">
        <v>30</v>
      </c>
      <c r="B31" t="s">
        <v>78</v>
      </c>
      <c r="C31" t="s">
        <v>79</v>
      </c>
      <c r="E31" t="b">
        <f>NOT(COUNTIF(Pools!$A$1:$H$10,C31))</f>
        <v>0</v>
      </c>
    </row>
    <row r="32" spans="1:5" x14ac:dyDescent="0.55000000000000004">
      <c r="A32" s="1">
        <v>31</v>
      </c>
      <c r="B32" t="s">
        <v>80</v>
      </c>
      <c r="C32" t="s">
        <v>81</v>
      </c>
      <c r="E32" t="b">
        <f>NOT(COUNTIF(Pools!$A$1:$H$10,C32))</f>
        <v>0</v>
      </c>
    </row>
    <row r="33" spans="1:5" x14ac:dyDescent="0.55000000000000004">
      <c r="A33" s="1">
        <v>32</v>
      </c>
      <c r="B33" t="s">
        <v>82</v>
      </c>
      <c r="C33" t="s">
        <v>83</v>
      </c>
      <c r="E33" t="b">
        <f>NOT(COUNTIF(Pools!$A$1:$H$10,C33))</f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1"/>
  <sheetViews>
    <sheetView zoomScale="170" zoomScaleNormal="170" workbookViewId="0">
      <selection activeCell="G13" sqref="G13"/>
    </sheetView>
  </sheetViews>
  <sheetFormatPr defaultRowHeight="14.4" x14ac:dyDescent="0.55000000000000004"/>
  <cols>
    <col min="1" max="1" width="25.68359375" customWidth="1"/>
    <col min="2" max="2" width="9.68359375" customWidth="1"/>
    <col min="3" max="3" width="25.68359375" customWidth="1"/>
    <col min="4" max="4" width="9.68359375" customWidth="1"/>
    <col min="5" max="5" width="25.68359375" customWidth="1"/>
    <col min="6" max="6" width="9.68359375" customWidth="1"/>
    <col min="7" max="7" width="25.68359375" customWidth="1"/>
    <col min="8" max="8" width="9.68359375" customWidth="1"/>
  </cols>
  <sheetData>
    <row r="1" spans="1:8" ht="20.7" thickTop="1" x14ac:dyDescent="0.75">
      <c r="A1" s="200" t="s">
        <v>12</v>
      </c>
      <c r="B1" s="201"/>
      <c r="C1" s="202" t="s">
        <v>13</v>
      </c>
      <c r="D1" s="203"/>
      <c r="E1" s="200" t="s">
        <v>14</v>
      </c>
      <c r="F1" s="201"/>
      <c r="G1" s="202" t="s">
        <v>15</v>
      </c>
      <c r="H1" s="203"/>
    </row>
    <row r="2" spans="1:8" ht="15" customHeight="1" x14ac:dyDescent="0.55000000000000004">
      <c r="A2" s="101" t="s">
        <v>20</v>
      </c>
      <c r="B2" s="102" t="str">
        <f>IF(ISBLANK(A2),"",_xlfn.XLOOKUP(A2,'Team List'!$B$2:$B$33,'Team List'!$C$2:$C$33,"N/A"))</f>
        <v>team 1</v>
      </c>
      <c r="C2" s="109" t="s">
        <v>24</v>
      </c>
      <c r="D2" s="110" t="str">
        <f>IF(ISBLANK(C2),"",_xlfn.XLOOKUP(C2,'Team List'!$B$2:$B$33,'Team List'!$C$2:$C$33,"N/A"))</f>
        <v>team 5</v>
      </c>
      <c r="E2" s="101" t="s">
        <v>28</v>
      </c>
      <c r="F2" s="102" t="str">
        <f>IF(ISBLANK(E2),"",_xlfn.XLOOKUP(E2,'Team List'!$B$2:$B$33,'Team List'!$C$2:$C$33,"N/A"))</f>
        <v>team 9</v>
      </c>
      <c r="G2" s="109" t="s">
        <v>32</v>
      </c>
      <c r="H2" s="110" t="str">
        <f>IF(ISBLANK(G2),"",_xlfn.XLOOKUP(G2,'Team List'!$B$2:$B$33,'Team List'!$C$2:$C$33,"N/A"))</f>
        <v>team 13</v>
      </c>
    </row>
    <row r="3" spans="1:8" ht="15" customHeight="1" x14ac:dyDescent="0.55000000000000004">
      <c r="A3" s="103" t="s">
        <v>21</v>
      </c>
      <c r="B3" s="104" t="str">
        <f>IF(ISBLANK(A3),"",_xlfn.XLOOKUP(A3,'Team List'!$B$2:$B$33,'Team List'!$C$2:$C$33,"N/A"))</f>
        <v>team 2</v>
      </c>
      <c r="C3" s="111" t="s">
        <v>25</v>
      </c>
      <c r="D3" s="112" t="str">
        <f>IF(ISBLANK(C3),"",_xlfn.XLOOKUP(C3,'Team List'!$B$2:$B$33,'Team List'!$C$2:$C$33,"N/A"))</f>
        <v>team 6</v>
      </c>
      <c r="E3" s="103" t="s">
        <v>29</v>
      </c>
      <c r="F3" s="104" t="str">
        <f>IF(ISBLANK(E3),"",_xlfn.XLOOKUP(E3,'Team List'!$B$2:$B$33,'Team List'!$C$2:$C$33,"N/A"))</f>
        <v>team 10</v>
      </c>
      <c r="G3" s="111" t="s">
        <v>33</v>
      </c>
      <c r="H3" s="112" t="str">
        <f>IF(ISBLANK(G3),"",_xlfn.XLOOKUP(G3,'Team List'!$B$2:$B$33,'Team List'!$C$2:$C$33,"N/A"))</f>
        <v>team 14</v>
      </c>
    </row>
    <row r="4" spans="1:8" ht="15" customHeight="1" x14ac:dyDescent="0.55000000000000004">
      <c r="A4" s="105" t="s">
        <v>22</v>
      </c>
      <c r="B4" s="106" t="str">
        <f>IF(ISBLANK(A4),"",_xlfn.XLOOKUP(A4,'Team List'!$B$2:$B$33,'Team List'!$C$2:$C$33,"N/A"))</f>
        <v>team 3</v>
      </c>
      <c r="C4" s="113" t="s">
        <v>26</v>
      </c>
      <c r="D4" s="114" t="str">
        <f>IF(ISBLANK(C4),"",_xlfn.XLOOKUP(C4,'Team List'!$B$2:$B$33,'Team List'!$C$2:$C$33,"N/A"))</f>
        <v>team 7</v>
      </c>
      <c r="E4" s="105" t="s">
        <v>30</v>
      </c>
      <c r="F4" s="106" t="str">
        <f>IF(ISBLANK(E4),"",_xlfn.XLOOKUP(E4,'Team List'!$B$2:$B$33,'Team List'!$C$2:$C$33,"N/A"))</f>
        <v>team 11</v>
      </c>
      <c r="G4" s="113" t="s">
        <v>34</v>
      </c>
      <c r="H4" s="114" t="str">
        <f>IF(ISBLANK(G4),"",_xlfn.XLOOKUP(G4,'Team List'!$B$2:$B$33,'Team List'!$C$2:$C$33,"N/A"))</f>
        <v>team 15</v>
      </c>
    </row>
    <row r="5" spans="1:8" ht="15" customHeight="1" thickBot="1" x14ac:dyDescent="0.6">
      <c r="A5" s="107" t="s">
        <v>23</v>
      </c>
      <c r="B5" s="108" t="str">
        <f>IF(ISBLANK(A5),"",_xlfn.XLOOKUP(A5,'Team List'!$B$2:$B$33,'Team List'!$C$2:$C$33,"N/A"))</f>
        <v>team 4</v>
      </c>
      <c r="C5" s="115" t="s">
        <v>27</v>
      </c>
      <c r="D5" s="116" t="str">
        <f>IF(ISBLANK(C5),"",_xlfn.XLOOKUP(C5,'Team List'!$B$2:$B$33,'Team List'!$C$2:$C$33,"N/A"))</f>
        <v>team 8</v>
      </c>
      <c r="E5" s="107" t="s">
        <v>31</v>
      </c>
      <c r="F5" s="108" t="str">
        <f>IF(ISBLANK(E5),"",_xlfn.XLOOKUP(E5,'Team List'!$B$2:$B$33,'Team List'!$C$2:$C$33,"N/A"))</f>
        <v>team 12</v>
      </c>
      <c r="G5" s="115" t="s">
        <v>35</v>
      </c>
      <c r="H5" s="116" t="str">
        <f>IF(ISBLANK(G5),"",_xlfn.XLOOKUP(G5,'Team List'!$B$2:$B$33,'Team List'!$C$2:$C$33,"N/A"))</f>
        <v>team 16</v>
      </c>
    </row>
    <row r="6" spans="1:8" ht="21" customHeight="1" thickTop="1" x14ac:dyDescent="0.75">
      <c r="A6" s="202" t="s">
        <v>16</v>
      </c>
      <c r="B6" s="203"/>
      <c r="C6" s="200" t="s">
        <v>17</v>
      </c>
      <c r="D6" s="201"/>
      <c r="E6" s="202" t="s">
        <v>18</v>
      </c>
      <c r="F6" s="203"/>
      <c r="G6" s="200" t="s">
        <v>19</v>
      </c>
      <c r="H6" s="201"/>
    </row>
    <row r="7" spans="1:8" ht="15" customHeight="1" x14ac:dyDescent="0.55000000000000004">
      <c r="A7" s="109" t="s">
        <v>36</v>
      </c>
      <c r="B7" s="110" t="str">
        <f>IF(ISBLANK(A7),"",_xlfn.XLOOKUP(A7,'Team List'!$B$2:$B$33,'Team List'!$C$2:$C$33,"N/A"))</f>
        <v>team 17</v>
      </c>
      <c r="C7" s="101" t="s">
        <v>40</v>
      </c>
      <c r="D7" s="102" t="str">
        <f>IF(ISBLANK(C7),"",_xlfn.XLOOKUP(C7,'Team List'!$B$2:$B$33,'Team List'!$C$2:$C$33,"N/A"))</f>
        <v>team 21</v>
      </c>
      <c r="E7" s="109" t="s">
        <v>44</v>
      </c>
      <c r="F7" s="110" t="str">
        <f>IF(ISBLANK(E7),"",_xlfn.XLOOKUP(E7,'Team List'!$B$2:$B$33,'Team List'!$C$2:$C$33,"N/A"))</f>
        <v>team 25</v>
      </c>
      <c r="G7" s="101" t="s">
        <v>76</v>
      </c>
      <c r="H7" s="102" t="str">
        <f>IF(ISBLANK(G7),"",_xlfn.XLOOKUP(G7,'Team List'!$B$2:$B$33,'Team List'!$C$2:$C$33,"N/A"))</f>
        <v>team 29</v>
      </c>
    </row>
    <row r="8" spans="1:8" ht="15" customHeight="1" x14ac:dyDescent="0.55000000000000004">
      <c r="A8" s="111" t="s">
        <v>37</v>
      </c>
      <c r="B8" s="112" t="str">
        <f>IF(ISBLANK(A8),"",_xlfn.XLOOKUP(A8,'Team List'!$B$2:$B$33,'Team List'!$C$2:$C$33,"N/A"))</f>
        <v>team 18</v>
      </c>
      <c r="C8" s="103" t="s">
        <v>41</v>
      </c>
      <c r="D8" s="104" t="str">
        <f>IF(ISBLANK(C8),"",_xlfn.XLOOKUP(C8,'Team List'!$B$2:$B$33,'Team List'!$C$2:$C$33,"N/A"))</f>
        <v>team 22</v>
      </c>
      <c r="E8" s="103" t="s">
        <v>45</v>
      </c>
      <c r="F8" s="104" t="str">
        <f>IF(ISBLANK(E8),"",_xlfn.XLOOKUP(E8,'Team List'!$B$2:$B$33,'Team List'!$C$2:$C$33,"N/A"))</f>
        <v>team 26</v>
      </c>
      <c r="G8" s="103" t="s">
        <v>78</v>
      </c>
      <c r="H8" s="104" t="str">
        <f>IF(ISBLANK(G8),"",_xlfn.XLOOKUP(G8,'Team List'!$B$2:$B$33,'Team List'!$C$2:$C$33,"N/A"))</f>
        <v>team 30</v>
      </c>
    </row>
    <row r="9" spans="1:8" x14ac:dyDescent="0.55000000000000004">
      <c r="A9" s="113" t="s">
        <v>38</v>
      </c>
      <c r="B9" s="114" t="str">
        <f>IF(ISBLANK(A9),"",_xlfn.XLOOKUP(A9,'Team List'!$B$2:$B$33,'Team List'!$C$2:$C$33,"N/A"))</f>
        <v>team 19</v>
      </c>
      <c r="C9" s="105" t="s">
        <v>42</v>
      </c>
      <c r="D9" s="106" t="str">
        <f>IF(ISBLANK(C9),"",_xlfn.XLOOKUP(C9,'Team List'!$B$2:$B$33,'Team List'!$C$2:$C$33,"N/A"))</f>
        <v>team 23</v>
      </c>
      <c r="E9" s="113" t="s">
        <v>46</v>
      </c>
      <c r="F9" s="114" t="str">
        <f>IF(ISBLANK(E9),"",_xlfn.XLOOKUP(E9,'Team List'!$B$2:$B$33,'Team List'!$C$2:$C$33,"N/A"))</f>
        <v>team 27</v>
      </c>
      <c r="G9" s="105" t="s">
        <v>80</v>
      </c>
      <c r="H9" s="106" t="str">
        <f>IF(ISBLANK(G9),"",_xlfn.XLOOKUP(G9,'Team List'!$B$2:$B$33,'Team List'!$C$2:$C$33,"N/A"))</f>
        <v>team 31</v>
      </c>
    </row>
    <row r="10" spans="1:8" ht="14.7" thickBot="1" x14ac:dyDescent="0.6">
      <c r="A10" s="115" t="s">
        <v>39</v>
      </c>
      <c r="B10" s="116" t="str">
        <f>IF(ISBLANK(A10),"",_xlfn.XLOOKUP(A10,'Team List'!$B$2:$B$33,'Team List'!$C$2:$C$33,"N/A"))</f>
        <v>team 20</v>
      </c>
      <c r="C10" s="107" t="s">
        <v>43</v>
      </c>
      <c r="D10" s="108" t="str">
        <f>IF(ISBLANK(C10),"",_xlfn.XLOOKUP(C10,'Team List'!$B$2:$B$33,'Team List'!$C$2:$C$33,"N/A"))</f>
        <v>team 24</v>
      </c>
      <c r="E10" s="107" t="s">
        <v>47</v>
      </c>
      <c r="F10" s="108" t="str">
        <f>IF(ISBLANK(E10),"",_xlfn.XLOOKUP(E10,'Team List'!$B$2:$B$33,'Team List'!$C$2:$C$33,"N/A"))</f>
        <v>team 28</v>
      </c>
      <c r="G10" s="107" t="s">
        <v>82</v>
      </c>
      <c r="H10" s="108" t="str">
        <f>IF(ISBLANK(G10),"",_xlfn.XLOOKUP(G10,'Team List'!$B$2:$B$33,'Team List'!$C$2:$C$33,"N/A"))</f>
        <v>team 32</v>
      </c>
    </row>
    <row r="11" spans="1:8" ht="14.7" thickTop="1" x14ac:dyDescent="0.55000000000000004"/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C2:C5 E2:E5 G2:G5 G7:G10 E7:E10 C7:C10 A7:A10">
    <cfRule type="duplicateValues" dxfId="48" priority="1"/>
  </conditionalFormatting>
  <dataValidations count="1">
    <dataValidation type="list" allowBlank="1" showInputMessage="1" showErrorMessage="1" sqref="A2:A5 C2:C5 E2:E5 G2:G5 G7:G10 E7:E10 C7:C10 A7:A10" xr:uid="{8B49E4EB-B8B2-4077-AE26-5D45890EBE89}">
      <formula1>TeamsLeft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1230630</xdr:colOff>
                <xdr:row>11</xdr:row>
                <xdr:rowOff>0</xdr:rowOff>
              </from>
              <to>
                <xdr:col>4</xdr:col>
                <xdr:colOff>327660</xdr:colOff>
                <xdr:row>13</xdr:row>
                <xdr:rowOff>26670</xdr:rowOff>
              </to>
            </anchor>
          </controlPr>
        </control>
      </mc:Choice>
      <mc:Fallback>
        <control shapeId="1028" r:id="rId4" name="CreateNewPool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topLeftCell="A6" zoomScale="200" zoomScaleNormal="200" workbookViewId="0">
      <selection activeCell="C5" sqref="C5"/>
    </sheetView>
  </sheetViews>
  <sheetFormatPr defaultRowHeight="14.4" x14ac:dyDescent="0.55000000000000004"/>
  <cols>
    <col min="2" max="2" width="6.68359375" customWidth="1"/>
    <col min="3" max="10" width="5.26171875" customWidth="1"/>
    <col min="17" max="17" width="9.15625" customWidth="1"/>
  </cols>
  <sheetData>
    <row r="1" spans="2:10" x14ac:dyDescent="0.55000000000000004">
      <c r="B1" s="204" t="s">
        <v>117</v>
      </c>
      <c r="C1" s="204"/>
      <c r="D1" s="204"/>
    </row>
    <row r="2" spans="2:10" ht="18" customHeight="1" x14ac:dyDescent="0.55000000000000004">
      <c r="C2" s="205"/>
      <c r="D2" s="205"/>
      <c r="E2" s="205"/>
      <c r="F2" s="205"/>
    </row>
    <row r="3" spans="2:10" ht="14.7" thickBot="1" x14ac:dyDescent="0.6"/>
    <row r="4" spans="2:10" ht="15.9" thickBot="1" x14ac:dyDescent="0.65">
      <c r="B4" s="206"/>
      <c r="C4" s="215"/>
      <c r="D4" s="216"/>
    </row>
    <row r="5" spans="2:10" ht="15.9" thickBot="1" x14ac:dyDescent="0.65">
      <c r="B5" s="207"/>
      <c r="C5" s="30"/>
      <c r="D5" s="31"/>
      <c r="E5" s="213"/>
      <c r="F5" s="214"/>
    </row>
    <row r="6" spans="2:10" ht="15.9" thickBot="1" x14ac:dyDescent="0.65">
      <c r="B6" s="207"/>
      <c r="C6" s="26"/>
      <c r="D6" s="27"/>
      <c r="E6" s="32"/>
      <c r="F6" s="33"/>
      <c r="G6" s="211"/>
      <c r="H6" s="212"/>
    </row>
    <row r="7" spans="2:10" ht="15.9" thickBot="1" x14ac:dyDescent="0.65">
      <c r="B7" s="208"/>
      <c r="C7" s="37"/>
      <c r="D7" s="21"/>
      <c r="E7" s="34"/>
      <c r="F7" s="21"/>
      <c r="G7" s="24"/>
      <c r="H7" s="35"/>
      <c r="I7" s="209"/>
      <c r="J7" s="210"/>
    </row>
    <row r="9" spans="2:10" ht="15" customHeight="1" x14ac:dyDescent="0.55000000000000004">
      <c r="E9" t="s">
        <v>112</v>
      </c>
      <c r="F9" s="90"/>
      <c r="G9" t="s">
        <v>118</v>
      </c>
    </row>
    <row r="10" spans="2:10" ht="15" customHeight="1" x14ac:dyDescent="0.55000000000000004">
      <c r="E10" t="s">
        <v>113</v>
      </c>
      <c r="F10" s="90"/>
      <c r="G10" s="91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4" r:id="rId4" name="PreBracketCreation">
          <controlPr defaultSize="0" autoLine="0" r:id="rId5">
            <anchor moveWithCells="1">
              <from>
                <xdr:col>4</xdr:col>
                <xdr:colOff>133350</xdr:colOff>
                <xdr:row>11</xdr:row>
                <xdr:rowOff>0</xdr:rowOff>
              </from>
              <to>
                <xdr:col>9</xdr:col>
                <xdr:colOff>361950</xdr:colOff>
                <xdr:row>13</xdr:row>
                <xdr:rowOff>26670</xdr:rowOff>
              </to>
            </anchor>
          </controlPr>
        </control>
      </mc:Choice>
      <mc:Fallback>
        <control shapeId="2064" r:id="rId4" name="PreBracketCreation"/>
      </mc:Fallback>
    </mc:AlternateContent>
    <mc:AlternateContent xmlns:mc="http://schemas.openxmlformats.org/markup-compatibility/2006">
      <mc:Choice Requires="x14">
        <control shapeId="2063" r:id="rId6" name="BracketCreation">
          <controlPr defaultSize="0" autoLine="0" r:id="rId7">
            <anchor moveWithCells="1">
              <from>
                <xdr:col>0</xdr:col>
                <xdr:colOff>601980</xdr:colOff>
                <xdr:row>11</xdr:row>
                <xdr:rowOff>0</xdr:rowOff>
              </from>
              <to>
                <xdr:col>3</xdr:col>
                <xdr:colOff>243840</xdr:colOff>
                <xdr:row>13</xdr:row>
                <xdr:rowOff>30480</xdr:rowOff>
              </to>
            </anchor>
          </controlPr>
        </control>
      </mc:Choice>
      <mc:Fallback>
        <control shapeId="2063" r:id="rId6" name="BracketCreation"/>
      </mc:Fallback>
    </mc:AlternateContent>
    <mc:AlternateContent xmlns:mc="http://schemas.openxmlformats.org/markup-compatibility/2006">
      <mc:Choice Requires="x14">
        <control shapeId="2059" r:id="rId8" name="TeamSelection">
          <controlPr autoLine="0" listFillRange="'Team List'!C2:C33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297180</xdr:colOff>
                <xdr:row>2</xdr:row>
                <xdr:rowOff>7620</xdr:rowOff>
              </to>
            </anchor>
          </controlPr>
        </control>
      </mc:Choice>
      <mc:Fallback>
        <control shapeId="2059" r:id="rId8" name="TeamSelection"/>
      </mc:Fallback>
    </mc:AlternateContent>
    <mc:AlternateContent xmlns:mc="http://schemas.openxmlformats.org/markup-compatibility/2006">
      <mc:Choice Requires="x14">
        <control shapeId="2061" r:id="rId10" name="SavePool">
          <controlPr defaultSize="0" autoLine="0" r:id="rId11">
            <anchor>
              <from>
                <xdr:col>0</xdr:col>
                <xdr:colOff>601980</xdr:colOff>
                <xdr:row>8</xdr:row>
                <xdr:rowOff>0</xdr:rowOff>
              </from>
              <to>
                <xdr:col>2</xdr:col>
                <xdr:colOff>274320</xdr:colOff>
                <xdr:row>10</xdr:row>
                <xdr:rowOff>15240</xdr:rowOff>
              </to>
            </anchor>
          </controlPr>
        </control>
      </mc:Choice>
      <mc:Fallback>
        <control shapeId="2061" r:id="rId10" name="SavePoo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K14" sqref="K14"/>
    </sheetView>
  </sheetViews>
  <sheetFormatPr defaultRowHeight="14.4" x14ac:dyDescent="0.55000000000000004"/>
  <cols>
    <col min="2" max="2" width="6.68359375" customWidth="1"/>
    <col min="3" max="10" width="5.26171875" customWidth="1"/>
    <col min="12" max="12" width="6.68359375" customWidth="1"/>
    <col min="13" max="20" width="5.26171875" customWidth="1"/>
    <col min="22" max="22" width="6.68359375" customWidth="1"/>
    <col min="23" max="30" width="5.26171875" customWidth="1"/>
  </cols>
  <sheetData>
    <row r="1" spans="2:30" ht="14.7" thickBot="1" x14ac:dyDescent="0.6"/>
    <row r="2" spans="2:30" s="19" customFormat="1" ht="16.5" customHeight="1" thickBot="1" x14ac:dyDescent="0.6">
      <c r="B2" s="206" t="s">
        <v>12</v>
      </c>
      <c r="C2" s="217" t="s">
        <v>48</v>
      </c>
      <c r="D2" s="218"/>
      <c r="L2" s="206" t="s">
        <v>16</v>
      </c>
      <c r="M2" s="217" t="s">
        <v>64</v>
      </c>
      <c r="N2" s="218"/>
      <c r="V2"/>
      <c r="W2"/>
      <c r="X2"/>
      <c r="Y2"/>
      <c r="Z2"/>
      <c r="AA2"/>
      <c r="AB2"/>
      <c r="AC2"/>
      <c r="AD2"/>
    </row>
    <row r="3" spans="2:30" s="19" customFormat="1" ht="15.9" thickBot="1" x14ac:dyDescent="0.6">
      <c r="B3" s="207"/>
      <c r="C3" s="30">
        <v>5</v>
      </c>
      <c r="D3" s="31">
        <v>28</v>
      </c>
      <c r="E3" s="219" t="s">
        <v>49</v>
      </c>
      <c r="F3" s="220"/>
      <c r="L3" s="207"/>
      <c r="M3" s="30">
        <v>2</v>
      </c>
      <c r="N3" s="31">
        <v>22</v>
      </c>
      <c r="O3" s="219" t="s">
        <v>65</v>
      </c>
      <c r="P3" s="220"/>
      <c r="V3"/>
      <c r="W3"/>
      <c r="X3"/>
      <c r="Y3"/>
      <c r="Z3"/>
      <c r="AA3"/>
      <c r="AB3"/>
      <c r="AC3"/>
      <c r="AD3"/>
    </row>
    <row r="4" spans="2:30" s="19" customFormat="1" ht="15.9" thickBot="1" x14ac:dyDescent="0.6">
      <c r="B4" s="207"/>
      <c r="C4" s="26">
        <v>28</v>
      </c>
      <c r="D4" s="27">
        <v>29</v>
      </c>
      <c r="E4" s="28">
        <v>25</v>
      </c>
      <c r="F4" s="29">
        <v>9</v>
      </c>
      <c r="G4" s="221" t="s">
        <v>50</v>
      </c>
      <c r="H4" s="222"/>
      <c r="L4" s="207"/>
      <c r="M4" s="26">
        <v>29</v>
      </c>
      <c r="N4" s="27">
        <v>2</v>
      </c>
      <c r="O4" s="28">
        <v>13</v>
      </c>
      <c r="P4" s="29">
        <v>1</v>
      </c>
      <c r="Q4" s="221" t="s">
        <v>66</v>
      </c>
      <c r="R4" s="222"/>
      <c r="V4"/>
      <c r="W4"/>
      <c r="X4"/>
      <c r="Y4"/>
      <c r="Z4"/>
      <c r="AA4"/>
      <c r="AB4"/>
      <c r="AC4"/>
      <c r="AD4"/>
    </row>
    <row r="5" spans="2:30" s="19" customFormat="1" ht="15.9" thickBot="1" x14ac:dyDescent="0.6">
      <c r="B5" s="208"/>
      <c r="C5" s="20">
        <v>2</v>
      </c>
      <c r="D5" s="21">
        <v>30</v>
      </c>
      <c r="E5" s="22">
        <v>7</v>
      </c>
      <c r="F5" s="23">
        <v>28</v>
      </c>
      <c r="G5" s="24">
        <v>18</v>
      </c>
      <c r="H5" s="25">
        <v>27</v>
      </c>
      <c r="I5" s="223" t="s">
        <v>51</v>
      </c>
      <c r="J5" s="224"/>
      <c r="L5" s="208"/>
      <c r="M5" s="20">
        <v>30</v>
      </c>
      <c r="N5" s="21">
        <v>1</v>
      </c>
      <c r="O5" s="22">
        <v>27</v>
      </c>
      <c r="P5" s="23">
        <v>24</v>
      </c>
      <c r="Q5" s="24">
        <v>21</v>
      </c>
      <c r="R5" s="25">
        <v>16</v>
      </c>
      <c r="S5" s="223" t="s">
        <v>67</v>
      </c>
      <c r="T5" s="224"/>
      <c r="V5"/>
      <c r="W5"/>
      <c r="X5"/>
      <c r="Y5"/>
      <c r="Z5"/>
      <c r="AA5"/>
      <c r="AB5"/>
      <c r="AC5"/>
      <c r="AD5"/>
    </row>
    <row r="7" spans="2:30" ht="14.7" thickBot="1" x14ac:dyDescent="0.6"/>
    <row r="8" spans="2:30" ht="16.5" customHeight="1" thickBot="1" x14ac:dyDescent="0.6">
      <c r="B8" s="206" t="s">
        <v>13</v>
      </c>
      <c r="C8" s="217" t="s">
        <v>52</v>
      </c>
      <c r="D8" s="218"/>
      <c r="E8" s="19"/>
      <c r="F8" s="19"/>
      <c r="G8" s="19"/>
      <c r="H8" s="19"/>
      <c r="I8" s="19"/>
      <c r="J8" s="19"/>
      <c r="L8" s="206" t="s">
        <v>17</v>
      </c>
      <c r="M8" s="217" t="s">
        <v>68</v>
      </c>
      <c r="N8" s="218"/>
      <c r="O8" s="19"/>
      <c r="P8" s="19"/>
      <c r="Q8" s="19"/>
      <c r="R8" s="19"/>
      <c r="S8" s="19"/>
      <c r="T8" s="19"/>
    </row>
    <row r="9" spans="2:30" ht="15.9" thickBot="1" x14ac:dyDescent="0.6">
      <c r="B9" s="207"/>
      <c r="C9" s="30">
        <v>25</v>
      </c>
      <c r="D9" s="31">
        <v>18</v>
      </c>
      <c r="E9" s="219" t="s">
        <v>53</v>
      </c>
      <c r="F9" s="220"/>
      <c r="G9" s="19"/>
      <c r="H9" s="19"/>
      <c r="I9" s="19"/>
      <c r="J9" s="19"/>
      <c r="L9" s="207"/>
      <c r="M9" s="30">
        <v>15</v>
      </c>
      <c r="N9" s="31">
        <v>6</v>
      </c>
      <c r="O9" s="219" t="s">
        <v>69</v>
      </c>
      <c r="P9" s="220"/>
      <c r="Q9" s="19"/>
      <c r="R9" s="19"/>
      <c r="S9" s="19"/>
      <c r="T9" s="19"/>
    </row>
    <row r="10" spans="2:30" ht="15.9" thickBot="1" x14ac:dyDescent="0.6">
      <c r="B10" s="207"/>
      <c r="C10" s="26">
        <v>23</v>
      </c>
      <c r="D10" s="27">
        <v>27</v>
      </c>
      <c r="E10" s="28">
        <v>6</v>
      </c>
      <c r="F10" s="29">
        <v>3</v>
      </c>
      <c r="G10" s="221" t="s">
        <v>54</v>
      </c>
      <c r="H10" s="222"/>
      <c r="I10" s="19"/>
      <c r="J10" s="19"/>
      <c r="L10" s="207"/>
      <c r="M10" s="26">
        <v>19</v>
      </c>
      <c r="N10" s="27">
        <v>22</v>
      </c>
      <c r="O10" s="28">
        <v>26</v>
      </c>
      <c r="P10" s="29">
        <v>9</v>
      </c>
      <c r="Q10" s="221" t="s">
        <v>70</v>
      </c>
      <c r="R10" s="222"/>
      <c r="S10" s="19"/>
      <c r="T10" s="19"/>
    </row>
    <row r="11" spans="2:30" ht="15.9" thickBot="1" x14ac:dyDescent="0.6">
      <c r="B11" s="208"/>
      <c r="C11" s="20">
        <v>3</v>
      </c>
      <c r="D11" s="21">
        <v>15</v>
      </c>
      <c r="E11" s="22">
        <v>20</v>
      </c>
      <c r="F11" s="23">
        <v>20</v>
      </c>
      <c r="G11" s="24">
        <v>20</v>
      </c>
      <c r="H11" s="25">
        <v>15</v>
      </c>
      <c r="I11" s="223" t="s">
        <v>55</v>
      </c>
      <c r="J11" s="224"/>
      <c r="L11" s="208"/>
      <c r="M11" s="20">
        <v>11</v>
      </c>
      <c r="N11" s="21">
        <v>4</v>
      </c>
      <c r="O11" s="22">
        <v>5</v>
      </c>
      <c r="P11" s="23">
        <v>18</v>
      </c>
      <c r="Q11" s="24">
        <v>21</v>
      </c>
      <c r="R11" s="25">
        <v>28</v>
      </c>
      <c r="S11" s="223" t="s">
        <v>71</v>
      </c>
      <c r="T11" s="224"/>
    </row>
    <row r="13" spans="2:30" ht="14.7" thickBot="1" x14ac:dyDescent="0.6"/>
    <row r="14" spans="2:30" ht="16.5" customHeight="1" thickBot="1" x14ac:dyDescent="0.6">
      <c r="B14" s="206" t="s">
        <v>14</v>
      </c>
      <c r="C14" s="217" t="s">
        <v>56</v>
      </c>
      <c r="D14" s="218"/>
      <c r="E14" s="19"/>
      <c r="F14" s="19"/>
      <c r="G14" s="19"/>
      <c r="H14" s="19"/>
      <c r="I14" s="19"/>
      <c r="J14" s="19"/>
      <c r="L14" s="206" t="s">
        <v>18</v>
      </c>
      <c r="M14" s="217" t="s">
        <v>72</v>
      </c>
      <c r="N14" s="218"/>
      <c r="O14" s="19"/>
      <c r="P14" s="19"/>
      <c r="Q14" s="19"/>
      <c r="R14" s="19"/>
      <c r="S14" s="19"/>
      <c r="T14" s="19"/>
    </row>
    <row r="15" spans="2:30" ht="15.9" thickBot="1" x14ac:dyDescent="0.6">
      <c r="B15" s="207"/>
      <c r="C15" s="30">
        <v>5</v>
      </c>
      <c r="D15" s="31">
        <v>19</v>
      </c>
      <c r="E15" s="219" t="s">
        <v>57</v>
      </c>
      <c r="F15" s="220"/>
      <c r="G15" s="19"/>
      <c r="H15" s="19"/>
      <c r="I15" s="19"/>
      <c r="J15" s="19"/>
      <c r="L15" s="207"/>
      <c r="M15" s="30">
        <v>9</v>
      </c>
      <c r="N15" s="31">
        <v>21</v>
      </c>
      <c r="O15" s="219" t="s">
        <v>73</v>
      </c>
      <c r="P15" s="220"/>
      <c r="Q15" s="19"/>
      <c r="R15" s="19"/>
      <c r="S15" s="19"/>
      <c r="T15" s="19"/>
    </row>
    <row r="16" spans="2:30" ht="15.9" thickBot="1" x14ac:dyDescent="0.6">
      <c r="B16" s="207"/>
      <c r="C16" s="26">
        <v>21</v>
      </c>
      <c r="D16" s="27">
        <v>19</v>
      </c>
      <c r="E16" s="28">
        <v>21</v>
      </c>
      <c r="F16" s="29">
        <v>21</v>
      </c>
      <c r="G16" s="221" t="s">
        <v>58</v>
      </c>
      <c r="H16" s="222"/>
      <c r="I16" s="19"/>
      <c r="J16" s="19"/>
      <c r="L16" s="207"/>
      <c r="M16" s="26">
        <v>6</v>
      </c>
      <c r="N16" s="27">
        <v>29</v>
      </c>
      <c r="O16" s="28">
        <v>28</v>
      </c>
      <c r="P16" s="29">
        <v>18</v>
      </c>
      <c r="Q16" s="221" t="s">
        <v>74</v>
      </c>
      <c r="R16" s="222"/>
      <c r="S16" s="19"/>
      <c r="T16" s="19"/>
    </row>
    <row r="17" spans="2:20" ht="15.9" thickBot="1" x14ac:dyDescent="0.6">
      <c r="B17" s="208"/>
      <c r="C17" s="20">
        <v>29</v>
      </c>
      <c r="D17" s="21">
        <v>8</v>
      </c>
      <c r="E17" s="22">
        <v>17</v>
      </c>
      <c r="F17" s="23">
        <v>14</v>
      </c>
      <c r="G17" s="24">
        <v>9</v>
      </c>
      <c r="H17" s="25">
        <v>30</v>
      </c>
      <c r="I17" s="223" t="s">
        <v>59</v>
      </c>
      <c r="J17" s="224"/>
      <c r="L17" s="208"/>
      <c r="M17" s="20">
        <v>4</v>
      </c>
      <c r="N17" s="21">
        <v>2</v>
      </c>
      <c r="O17" s="22">
        <v>5</v>
      </c>
      <c r="P17" s="23">
        <v>12</v>
      </c>
      <c r="Q17" s="24">
        <v>28</v>
      </c>
      <c r="R17" s="25">
        <v>28</v>
      </c>
      <c r="S17" s="223" t="s">
        <v>75</v>
      </c>
      <c r="T17" s="224"/>
    </row>
    <row r="19" spans="2:20" ht="14.7" thickBot="1" x14ac:dyDescent="0.6"/>
    <row r="20" spans="2:20" ht="16.5" customHeight="1" thickBot="1" x14ac:dyDescent="0.6">
      <c r="B20" s="206" t="s">
        <v>15</v>
      </c>
      <c r="C20" s="217" t="s">
        <v>60</v>
      </c>
      <c r="D20" s="218"/>
      <c r="E20" s="19"/>
      <c r="F20" s="19"/>
      <c r="G20" s="19"/>
      <c r="H20" s="19"/>
      <c r="I20" s="19"/>
      <c r="J20" s="19"/>
      <c r="L20" s="206" t="s">
        <v>19</v>
      </c>
      <c r="M20" s="217" t="s">
        <v>77</v>
      </c>
      <c r="N20" s="218"/>
      <c r="O20" s="19"/>
      <c r="P20" s="19"/>
      <c r="Q20" s="19"/>
      <c r="R20" s="19"/>
      <c r="S20" s="19"/>
      <c r="T20" s="19"/>
    </row>
    <row r="21" spans="2:20" ht="15.9" thickBot="1" x14ac:dyDescent="0.6">
      <c r="B21" s="207"/>
      <c r="C21" s="30">
        <v>15</v>
      </c>
      <c r="D21" s="31">
        <v>27</v>
      </c>
      <c r="E21" s="219" t="s">
        <v>61</v>
      </c>
      <c r="F21" s="220"/>
      <c r="G21" s="19"/>
      <c r="H21" s="19"/>
      <c r="I21" s="19"/>
      <c r="J21" s="19"/>
      <c r="L21" s="207"/>
      <c r="M21" s="30">
        <v>27</v>
      </c>
      <c r="N21" s="31">
        <v>21</v>
      </c>
      <c r="O21" s="219" t="s">
        <v>79</v>
      </c>
      <c r="P21" s="220"/>
      <c r="Q21" s="19"/>
      <c r="R21" s="19"/>
      <c r="S21" s="19"/>
      <c r="T21" s="19"/>
    </row>
    <row r="22" spans="2:20" ht="15.9" thickBot="1" x14ac:dyDescent="0.6">
      <c r="B22" s="207"/>
      <c r="C22" s="26">
        <v>2</v>
      </c>
      <c r="D22" s="27">
        <v>26</v>
      </c>
      <c r="E22" s="28">
        <v>30</v>
      </c>
      <c r="F22" s="29">
        <v>12</v>
      </c>
      <c r="G22" s="221" t="s">
        <v>62</v>
      </c>
      <c r="H22" s="222"/>
      <c r="I22" s="19"/>
      <c r="J22" s="19"/>
      <c r="L22" s="207"/>
      <c r="M22" s="26">
        <v>30</v>
      </c>
      <c r="N22" s="27">
        <v>9</v>
      </c>
      <c r="O22" s="28">
        <v>15</v>
      </c>
      <c r="P22" s="29">
        <v>25</v>
      </c>
      <c r="Q22" s="221" t="s">
        <v>81</v>
      </c>
      <c r="R22" s="222"/>
      <c r="S22" s="19"/>
      <c r="T22" s="19"/>
    </row>
    <row r="23" spans="2:20" ht="15.9" thickBot="1" x14ac:dyDescent="0.6">
      <c r="B23" s="208"/>
      <c r="C23" s="20">
        <v>19</v>
      </c>
      <c r="D23" s="21">
        <v>19</v>
      </c>
      <c r="E23" s="22">
        <v>1</v>
      </c>
      <c r="F23" s="23">
        <v>28</v>
      </c>
      <c r="G23" s="24">
        <v>20</v>
      </c>
      <c r="H23" s="25">
        <v>2</v>
      </c>
      <c r="I23" s="223" t="s">
        <v>63</v>
      </c>
      <c r="J23" s="224"/>
      <c r="L23" s="208"/>
      <c r="M23" s="20">
        <v>24</v>
      </c>
      <c r="N23" s="21">
        <v>22</v>
      </c>
      <c r="O23" s="22">
        <v>11</v>
      </c>
      <c r="P23" s="23">
        <v>30</v>
      </c>
      <c r="Q23" s="24">
        <v>4</v>
      </c>
      <c r="R23" s="25">
        <v>10</v>
      </c>
      <c r="S23" s="223" t="s">
        <v>83</v>
      </c>
      <c r="T23" s="224"/>
    </row>
  </sheetData>
  <mergeCells count="40">
    <mergeCell ref="B2:B5"/>
    <mergeCell ref="C2:D2"/>
    <mergeCell ref="E3:F3"/>
    <mergeCell ref="G4:H4"/>
    <mergeCell ref="I5:J5"/>
    <mergeCell ref="B8:B11"/>
    <mergeCell ref="C8:D8"/>
    <mergeCell ref="E9:F9"/>
    <mergeCell ref="G10:H10"/>
    <mergeCell ref="I11:J11"/>
    <mergeCell ref="B20:B23"/>
    <mergeCell ref="C20:D20"/>
    <mergeCell ref="E21:F21"/>
    <mergeCell ref="G22:H22"/>
    <mergeCell ref="I23:J23"/>
    <mergeCell ref="B14:B17"/>
    <mergeCell ref="C14:D14"/>
    <mergeCell ref="E15:F15"/>
    <mergeCell ref="G16:H16"/>
    <mergeCell ref="I17:J17"/>
    <mergeCell ref="L8:L11"/>
    <mergeCell ref="M8:N8"/>
    <mergeCell ref="O9:P9"/>
    <mergeCell ref="Q10:R10"/>
    <mergeCell ref="S11:T11"/>
    <mergeCell ref="L2:L5"/>
    <mergeCell ref="M2:N2"/>
    <mergeCell ref="O3:P3"/>
    <mergeCell ref="Q4:R4"/>
    <mergeCell ref="S5:T5"/>
    <mergeCell ref="L20:L23"/>
    <mergeCell ref="M20:N20"/>
    <mergeCell ref="O21:P21"/>
    <mergeCell ref="Q22:R22"/>
    <mergeCell ref="S23:T23"/>
    <mergeCell ref="L14:L17"/>
    <mergeCell ref="M14:N14"/>
    <mergeCell ref="O15:P15"/>
    <mergeCell ref="Q16:R16"/>
    <mergeCell ref="S17:T17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:W34"/>
  <sheetViews>
    <sheetView topLeftCell="A6" zoomScaleNormal="100" workbookViewId="0"/>
  </sheetViews>
  <sheetFormatPr defaultColWidth="9.15625" defaultRowHeight="14.4" x14ac:dyDescent="0.55000000000000004"/>
  <cols>
    <col min="1" max="1" width="2.68359375" customWidth="1"/>
    <col min="2" max="2" width="3.68359375" customWidth="1"/>
    <col min="3" max="3" width="11.68359375" customWidth="1"/>
    <col min="4" max="4" width="9.68359375" customWidth="1"/>
    <col min="5" max="5" width="3.68359375" customWidth="1"/>
    <col min="6" max="6" width="11.68359375" customWidth="1"/>
    <col min="7" max="7" width="9.68359375" customWidth="1"/>
    <col min="8" max="8" width="3.68359375" customWidth="1"/>
    <col min="9" max="9" width="11.68359375" customWidth="1"/>
    <col min="10" max="10" width="9.68359375" customWidth="1"/>
    <col min="11" max="11" width="3.68359375" customWidth="1"/>
    <col min="12" max="12" width="11.68359375" customWidth="1"/>
    <col min="13" max="13" width="3.68359375" customWidth="1"/>
    <col min="14" max="14" width="9.68359375" customWidth="1"/>
    <col min="15" max="15" width="11.68359375" customWidth="1"/>
    <col min="16" max="16" width="3.68359375" customWidth="1"/>
    <col min="17" max="17" width="9.68359375" customWidth="1"/>
    <col min="18" max="18" width="11.68359375" customWidth="1"/>
    <col min="19" max="19" width="3.68359375" customWidth="1"/>
    <col min="20" max="20" width="9.68359375" customWidth="1"/>
    <col min="21" max="21" width="11.68359375" customWidth="1"/>
    <col min="22" max="22" width="3.68359375" customWidth="1"/>
    <col min="23" max="23" width="2.68359375" customWidth="1"/>
  </cols>
  <sheetData>
    <row r="1" spans="1:23" ht="23.1" x14ac:dyDescent="0.85">
      <c r="A1" s="15"/>
      <c r="B1" s="226" t="s">
        <v>132</v>
      </c>
      <c r="C1" s="226"/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26"/>
      <c r="Q1" s="226"/>
      <c r="R1" s="226"/>
      <c r="S1" s="226"/>
      <c r="T1" s="226"/>
      <c r="U1" s="226"/>
      <c r="V1" s="226"/>
      <c r="W1" s="11"/>
    </row>
    <row r="2" spans="1:23" ht="15.6" x14ac:dyDescent="0.6">
      <c r="A2" s="2"/>
      <c r="B2" s="225" t="s">
        <v>8</v>
      </c>
      <c r="C2" s="225"/>
      <c r="D2" s="3"/>
      <c r="E2" s="225" t="s">
        <v>4</v>
      </c>
      <c r="F2" s="225"/>
      <c r="G2" s="3"/>
      <c r="H2" s="225" t="s">
        <v>3</v>
      </c>
      <c r="I2" s="225"/>
      <c r="J2" s="3"/>
      <c r="K2" s="225" t="s">
        <v>5</v>
      </c>
      <c r="L2" s="225"/>
      <c r="M2" s="225"/>
      <c r="N2" s="3"/>
      <c r="O2" s="225" t="s">
        <v>2</v>
      </c>
      <c r="P2" s="225"/>
      <c r="Q2" s="3"/>
      <c r="R2" s="225" t="s">
        <v>1</v>
      </c>
      <c r="S2" s="225"/>
      <c r="T2" s="3"/>
      <c r="U2" s="225" t="s">
        <v>0</v>
      </c>
      <c r="V2" s="225"/>
      <c r="W2" s="4"/>
    </row>
    <row r="3" spans="1:23" ht="14.7" thickBot="1" x14ac:dyDescent="0.6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5" thickTop="1" thickBot="1" x14ac:dyDescent="0.6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 t="s">
        <v>51</v>
      </c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5" thickTop="1" thickBot="1" x14ac:dyDescent="0.6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 t="s">
        <v>135</v>
      </c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5" thickTop="1" thickBot="1" x14ac:dyDescent="0.6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>bye</v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>team 4</v>
      </c>
      <c r="P6" s="124"/>
      <c r="Q6" s="5"/>
      <c r="R6" s="10"/>
      <c r="S6" s="5"/>
      <c r="T6" s="5"/>
      <c r="U6" s="10"/>
      <c r="V6" s="5"/>
      <c r="W6" s="7"/>
    </row>
    <row r="7" spans="1:23" ht="15" thickTop="1" thickBot="1" x14ac:dyDescent="0.6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5" thickTop="1" thickBot="1" x14ac:dyDescent="0.6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 t="s">
        <v>55</v>
      </c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5" thickTop="1" thickBot="1" x14ac:dyDescent="0.6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 t="s">
        <v>64</v>
      </c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5" thickTop="1" thickBot="1" x14ac:dyDescent="0.6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5" thickTop="1" thickBot="1" x14ac:dyDescent="0.6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>bye</v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5" thickTop="1" thickBot="1" x14ac:dyDescent="0.6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 t="s">
        <v>57</v>
      </c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5" thickTop="1" thickBot="1" x14ac:dyDescent="0.6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 t="s">
        <v>135</v>
      </c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5" thickTop="1" thickBot="1" x14ac:dyDescent="0.6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>bye</v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>team 10</v>
      </c>
      <c r="P14" s="124"/>
      <c r="Q14" s="157"/>
      <c r="R14" s="10"/>
      <c r="S14" s="5"/>
      <c r="T14" s="144"/>
      <c r="U14" s="10"/>
      <c r="V14" s="5"/>
      <c r="W14" s="7"/>
    </row>
    <row r="15" spans="1:23" ht="15" thickTop="1" thickBot="1" x14ac:dyDescent="0.6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>bye</v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>team 29</v>
      </c>
      <c r="P15" s="126"/>
      <c r="Q15" s="5"/>
      <c r="R15" s="10"/>
      <c r="S15" s="5"/>
      <c r="T15" s="144"/>
      <c r="U15" s="10"/>
      <c r="V15" s="5"/>
      <c r="W15" s="7"/>
    </row>
    <row r="16" spans="1:23" ht="15" thickTop="1" thickBot="1" x14ac:dyDescent="0.6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 t="s">
        <v>77</v>
      </c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5" thickTop="1" thickBot="1" x14ac:dyDescent="0.6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 t="s">
        <v>135</v>
      </c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4.7" thickTop="1" x14ac:dyDescent="0.55000000000000004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4.7" thickBot="1" x14ac:dyDescent="0.6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5" thickTop="1" thickBot="1" x14ac:dyDescent="0.6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 t="s">
        <v>62</v>
      </c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5" thickTop="1" thickBot="1" x14ac:dyDescent="0.6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 t="s">
        <v>135</v>
      </c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5" thickTop="1" thickBot="1" x14ac:dyDescent="0.6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>bye</v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>team 15</v>
      </c>
      <c r="P22" s="124"/>
      <c r="Q22" s="5"/>
      <c r="R22" s="10"/>
      <c r="S22" s="5"/>
      <c r="T22" s="144"/>
      <c r="U22" s="10"/>
      <c r="V22" s="5"/>
      <c r="W22" s="7"/>
    </row>
    <row r="23" spans="1:23" ht="15" thickTop="1" thickBot="1" x14ac:dyDescent="0.6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/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/>
      </c>
      <c r="P23" s="126"/>
      <c r="Q23" s="156"/>
      <c r="R23" s="10"/>
      <c r="S23" s="5"/>
      <c r="T23" s="144"/>
      <c r="U23" s="10"/>
      <c r="V23" s="5"/>
      <c r="W23" s="7"/>
    </row>
    <row r="24" spans="1:23" ht="15" thickTop="1" thickBot="1" x14ac:dyDescent="0.6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 t="s">
        <v>73</v>
      </c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5" thickTop="1" thickBot="1" x14ac:dyDescent="0.6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 t="s">
        <v>49</v>
      </c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5" thickTop="1" thickBot="1" x14ac:dyDescent="0.6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/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5" thickTop="1" thickBot="1" x14ac:dyDescent="0.6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5" thickTop="1" thickBot="1" x14ac:dyDescent="0.6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 t="s">
        <v>71</v>
      </c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6.2" thickTop="1" thickBot="1" x14ac:dyDescent="0.65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 t="s">
        <v>83</v>
      </c>
      <c r="M29" s="122"/>
      <c r="N29" s="156"/>
      <c r="O29" s="10"/>
      <c r="P29" s="5"/>
      <c r="Q29" s="144"/>
      <c r="R29" s="10"/>
      <c r="S29" s="5"/>
      <c r="T29" s="5"/>
      <c r="U29" s="236" t="s">
        <v>6</v>
      </c>
      <c r="V29" s="237"/>
      <c r="W29" s="7"/>
    </row>
    <row r="30" spans="1:23" ht="15" thickTop="1" thickBot="1" x14ac:dyDescent="0.6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5" thickTop="1" thickBot="1" x14ac:dyDescent="0.6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>bye</v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>team 18</v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5" thickTop="1" thickBot="1" x14ac:dyDescent="0.6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 t="s">
        <v>65</v>
      </c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5" thickTop="1" thickBot="1" x14ac:dyDescent="0.6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 t="s">
        <v>135</v>
      </c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4.7" thickTop="1" x14ac:dyDescent="0.55000000000000004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17" priority="2">
      <formula>$B$18&gt;$B$19</formula>
    </cfRule>
  </conditionalFormatting>
  <conditionalFormatting sqref="C19">
    <cfRule type="expression" dxfId="16" priority="1">
      <formula>$B$19&gt;$B$18</formula>
    </cfRule>
  </conditionalFormatting>
  <conditionalFormatting sqref="U18">
    <cfRule type="expression" dxfId="15" priority="6">
      <formula>$V$18&gt;$V$19</formula>
    </cfRule>
  </conditionalFormatting>
  <conditionalFormatting sqref="U19">
    <cfRule type="expression" dxfId="14" priority="4">
      <formula>$V$19&gt;$V$18</formula>
    </cfRule>
  </conditionalFormatting>
  <conditionalFormatting sqref="U30">
    <cfRule type="expression" dxfId="13" priority="5">
      <formula>$V$30&gt;$V$31</formula>
    </cfRule>
  </conditionalFormatting>
  <conditionalFormatting sqref="U31">
    <cfRule type="expression" dxfId="12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:W34"/>
  <sheetViews>
    <sheetView zoomScaleNormal="100" workbookViewId="0"/>
  </sheetViews>
  <sheetFormatPr defaultRowHeight="14.4" x14ac:dyDescent="0.55000000000000004"/>
  <cols>
    <col min="1" max="1" width="2.68359375" customWidth="1"/>
    <col min="2" max="2" width="3.68359375" customWidth="1"/>
    <col min="3" max="3" width="11.68359375" customWidth="1"/>
    <col min="4" max="4" width="9.68359375" customWidth="1"/>
    <col min="5" max="5" width="3.68359375" customWidth="1"/>
    <col min="6" max="6" width="11.68359375" customWidth="1"/>
    <col min="7" max="7" width="9.68359375" customWidth="1"/>
    <col min="8" max="8" width="3.68359375" customWidth="1"/>
    <col min="9" max="9" width="11.68359375" customWidth="1"/>
    <col min="10" max="10" width="9.68359375" customWidth="1"/>
    <col min="11" max="11" width="3.68359375" customWidth="1"/>
    <col min="12" max="12" width="11.68359375" customWidth="1"/>
    <col min="13" max="13" width="3.68359375" customWidth="1"/>
    <col min="14" max="14" width="9.68359375" customWidth="1"/>
    <col min="15" max="15" width="11.68359375" customWidth="1"/>
    <col min="16" max="16" width="3.68359375" customWidth="1"/>
    <col min="17" max="17" width="9.68359375" customWidth="1"/>
    <col min="18" max="18" width="11.68359375" customWidth="1"/>
    <col min="19" max="19" width="3.68359375" customWidth="1"/>
    <col min="20" max="20" width="9.68359375" customWidth="1"/>
    <col min="21" max="21" width="11.68359375" customWidth="1"/>
    <col min="22" max="22" width="3.68359375" customWidth="1"/>
    <col min="23" max="23" width="2.68359375" customWidth="1"/>
  </cols>
  <sheetData>
    <row r="1" spans="1:23" ht="23.1" x14ac:dyDescent="0.85">
      <c r="A1" s="15"/>
      <c r="B1" s="226" t="s">
        <v>133</v>
      </c>
      <c r="C1" s="226"/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26"/>
      <c r="Q1" s="226"/>
      <c r="R1" s="226"/>
      <c r="S1" s="226"/>
      <c r="T1" s="226"/>
      <c r="U1" s="226"/>
      <c r="V1" s="226"/>
      <c r="W1" s="11"/>
    </row>
    <row r="2" spans="1:23" ht="15.6" x14ac:dyDescent="0.6">
      <c r="A2" s="2"/>
      <c r="B2" s="225" t="s">
        <v>8</v>
      </c>
      <c r="C2" s="225"/>
      <c r="D2" s="3"/>
      <c r="E2" s="225" t="s">
        <v>4</v>
      </c>
      <c r="F2" s="225"/>
      <c r="G2" s="3"/>
      <c r="H2" s="225" t="s">
        <v>3</v>
      </c>
      <c r="I2" s="225"/>
      <c r="J2" s="3"/>
      <c r="K2" s="225" t="s">
        <v>5</v>
      </c>
      <c r="L2" s="225"/>
      <c r="M2" s="225"/>
      <c r="N2" s="3"/>
      <c r="O2" s="225" t="s">
        <v>2</v>
      </c>
      <c r="P2" s="225"/>
      <c r="Q2" s="3"/>
      <c r="R2" s="225" t="s">
        <v>1</v>
      </c>
      <c r="S2" s="225"/>
      <c r="T2" s="3"/>
      <c r="U2" s="225" t="s">
        <v>0</v>
      </c>
      <c r="V2" s="225"/>
      <c r="W2" s="4"/>
    </row>
    <row r="3" spans="1:23" ht="14.7" thickBot="1" x14ac:dyDescent="0.6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5" thickTop="1" thickBot="1" x14ac:dyDescent="0.6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 t="s">
        <v>68</v>
      </c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5" thickTop="1" thickBot="1" x14ac:dyDescent="0.6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 t="s">
        <v>135</v>
      </c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5" thickTop="1" thickBot="1" x14ac:dyDescent="0.6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>bye</v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>team 21</v>
      </c>
      <c r="P6" s="124"/>
      <c r="Q6" s="5"/>
      <c r="R6" s="10"/>
      <c r="S6" s="5"/>
      <c r="T6" s="5"/>
      <c r="U6" s="10"/>
      <c r="V6" s="5"/>
      <c r="W6" s="7"/>
    </row>
    <row r="7" spans="1:23" ht="15" thickTop="1" thickBot="1" x14ac:dyDescent="0.6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5" thickTop="1" thickBot="1" x14ac:dyDescent="0.6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 t="s">
        <v>59</v>
      </c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5" thickTop="1" thickBot="1" x14ac:dyDescent="0.6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 t="s">
        <v>52</v>
      </c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5" thickTop="1" thickBot="1" x14ac:dyDescent="0.6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5" thickTop="1" thickBot="1" x14ac:dyDescent="0.6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>bye</v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5" thickTop="1" thickBot="1" x14ac:dyDescent="0.6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 t="s">
        <v>61</v>
      </c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5" thickTop="1" thickBot="1" x14ac:dyDescent="0.6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 t="s">
        <v>135</v>
      </c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5" thickTop="1" thickBot="1" x14ac:dyDescent="0.6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>bye</v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>team 14</v>
      </c>
      <c r="P14" s="124"/>
      <c r="Q14" s="157"/>
      <c r="R14" s="10"/>
      <c r="S14" s="5"/>
      <c r="T14" s="144"/>
      <c r="U14" s="10"/>
      <c r="V14" s="5"/>
      <c r="W14" s="7"/>
    </row>
    <row r="15" spans="1:23" ht="15" thickTop="1" thickBot="1" x14ac:dyDescent="0.6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>bye</v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>team 28</v>
      </c>
      <c r="P15" s="126"/>
      <c r="Q15" s="5"/>
      <c r="R15" s="10"/>
      <c r="S15" s="5"/>
      <c r="T15" s="144"/>
      <c r="U15" s="10"/>
      <c r="V15" s="5"/>
      <c r="W15" s="7"/>
    </row>
    <row r="16" spans="1:23" ht="15" thickTop="1" thickBot="1" x14ac:dyDescent="0.6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 t="s">
        <v>75</v>
      </c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5" thickTop="1" thickBot="1" x14ac:dyDescent="0.6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 t="s">
        <v>135</v>
      </c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4.7" thickTop="1" x14ac:dyDescent="0.55000000000000004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4.7" thickBot="1" x14ac:dyDescent="0.6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5" thickTop="1" thickBot="1" x14ac:dyDescent="0.6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 t="s">
        <v>54</v>
      </c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5" thickTop="1" thickBot="1" x14ac:dyDescent="0.6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 t="s">
        <v>135</v>
      </c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5" thickTop="1" thickBot="1" x14ac:dyDescent="0.6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>bye</v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>team 7</v>
      </c>
      <c r="P22" s="124"/>
      <c r="Q22" s="5"/>
      <c r="R22" s="10"/>
      <c r="S22" s="5"/>
      <c r="T22" s="144"/>
      <c r="U22" s="10"/>
      <c r="V22" s="5"/>
      <c r="W22" s="7"/>
    </row>
    <row r="23" spans="1:23" ht="15" thickTop="1" thickBot="1" x14ac:dyDescent="0.6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/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/>
      </c>
      <c r="P23" s="126"/>
      <c r="Q23" s="156"/>
      <c r="R23" s="10"/>
      <c r="S23" s="5"/>
      <c r="T23" s="144"/>
      <c r="U23" s="10"/>
      <c r="V23" s="5"/>
      <c r="W23" s="7"/>
    </row>
    <row r="24" spans="1:23" ht="15" thickTop="1" thickBot="1" x14ac:dyDescent="0.6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 t="s">
        <v>63</v>
      </c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5" thickTop="1" thickBot="1" x14ac:dyDescent="0.6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 t="s">
        <v>50</v>
      </c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5" thickTop="1" thickBot="1" x14ac:dyDescent="0.6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/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5" thickTop="1" thickBot="1" x14ac:dyDescent="0.6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5" thickTop="1" thickBot="1" x14ac:dyDescent="0.6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 t="s">
        <v>74</v>
      </c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6.2" thickTop="1" thickBot="1" x14ac:dyDescent="0.65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 t="s">
        <v>70</v>
      </c>
      <c r="M29" s="122"/>
      <c r="N29" s="156"/>
      <c r="O29" s="10"/>
      <c r="P29" s="5"/>
      <c r="Q29" s="144"/>
      <c r="R29" s="10"/>
      <c r="S29" s="5"/>
      <c r="T29" s="5"/>
      <c r="U29" s="236" t="s">
        <v>6</v>
      </c>
      <c r="V29" s="237"/>
      <c r="W29" s="7"/>
    </row>
    <row r="30" spans="1:23" ht="15" thickTop="1" thickBot="1" x14ac:dyDescent="0.6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5" thickTop="1" thickBot="1" x14ac:dyDescent="0.6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>bye</v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>team 9</v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5" thickTop="1" thickBot="1" x14ac:dyDescent="0.6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 t="s">
        <v>56</v>
      </c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5" thickTop="1" thickBot="1" x14ac:dyDescent="0.6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 t="s">
        <v>135</v>
      </c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4.7" thickTop="1" x14ac:dyDescent="0.55000000000000004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11" priority="2">
      <formula>$B$18&gt;$B$19</formula>
    </cfRule>
  </conditionalFormatting>
  <conditionalFormatting sqref="C19">
    <cfRule type="expression" dxfId="10" priority="1">
      <formula>$B$19&gt;$B$18</formula>
    </cfRule>
  </conditionalFormatting>
  <conditionalFormatting sqref="U18">
    <cfRule type="expression" dxfId="9" priority="6">
      <formula>$V$18&gt;$V$19</formula>
    </cfRule>
  </conditionalFormatting>
  <conditionalFormatting sqref="U19">
    <cfRule type="expression" dxfId="8" priority="4">
      <formula>$V$19&gt;$V$18</formula>
    </cfRule>
  </conditionalFormatting>
  <conditionalFormatting sqref="U30">
    <cfRule type="expression" dxfId="7" priority="5">
      <formula>$V$30&gt;$V$31</formula>
    </cfRule>
  </conditionalFormatting>
  <conditionalFormatting sqref="U31">
    <cfRule type="expression" dxfId="6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:W34"/>
  <sheetViews>
    <sheetView zoomScaleNormal="100" workbookViewId="0"/>
  </sheetViews>
  <sheetFormatPr defaultRowHeight="14.4" x14ac:dyDescent="0.55000000000000004"/>
  <cols>
    <col min="1" max="1" width="2.68359375" customWidth="1"/>
    <col min="2" max="2" width="3.68359375" customWidth="1"/>
    <col min="3" max="3" width="11.68359375" customWidth="1"/>
    <col min="4" max="4" width="9.68359375" customWidth="1"/>
    <col min="5" max="5" width="3.68359375" customWidth="1"/>
    <col min="6" max="6" width="11.68359375" customWidth="1"/>
    <col min="7" max="7" width="9.68359375" customWidth="1"/>
    <col min="8" max="8" width="3.68359375" customWidth="1"/>
    <col min="9" max="9" width="11.68359375" customWidth="1"/>
    <col min="10" max="10" width="9.68359375" customWidth="1"/>
    <col min="11" max="11" width="3.68359375" customWidth="1"/>
    <col min="12" max="12" width="11.68359375" customWidth="1"/>
    <col min="13" max="13" width="3.68359375" customWidth="1"/>
    <col min="14" max="14" width="9.68359375" customWidth="1"/>
    <col min="15" max="15" width="11.68359375" customWidth="1"/>
    <col min="16" max="16" width="3.68359375" customWidth="1"/>
    <col min="17" max="17" width="9.68359375" customWidth="1"/>
    <col min="18" max="18" width="11.68359375" customWidth="1"/>
    <col min="19" max="19" width="3.68359375" customWidth="1"/>
    <col min="20" max="20" width="9.68359375" customWidth="1"/>
    <col min="21" max="21" width="11.68359375" customWidth="1"/>
    <col min="22" max="22" width="3.68359375" customWidth="1"/>
    <col min="23" max="23" width="2.68359375" customWidth="1"/>
  </cols>
  <sheetData>
    <row r="1" spans="1:23" ht="23.1" x14ac:dyDescent="0.85">
      <c r="A1" s="15"/>
      <c r="B1" s="226" t="s">
        <v>134</v>
      </c>
      <c r="C1" s="226"/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26"/>
      <c r="Q1" s="226"/>
      <c r="R1" s="226"/>
      <c r="S1" s="226"/>
      <c r="T1" s="226"/>
      <c r="U1" s="226"/>
      <c r="V1" s="226"/>
      <c r="W1" s="11"/>
    </row>
    <row r="2" spans="1:23" ht="15.6" x14ac:dyDescent="0.6">
      <c r="A2" s="2"/>
      <c r="B2" s="225" t="s">
        <v>8</v>
      </c>
      <c r="C2" s="225"/>
      <c r="D2" s="3"/>
      <c r="E2" s="225" t="s">
        <v>4</v>
      </c>
      <c r="F2" s="225"/>
      <c r="G2" s="3"/>
      <c r="H2" s="225" t="s">
        <v>3</v>
      </c>
      <c r="I2" s="225"/>
      <c r="J2" s="3"/>
      <c r="K2" s="225" t="s">
        <v>5</v>
      </c>
      <c r="L2" s="225"/>
      <c r="M2" s="225"/>
      <c r="N2" s="3"/>
      <c r="O2" s="225" t="s">
        <v>2</v>
      </c>
      <c r="P2" s="225"/>
      <c r="Q2" s="3"/>
      <c r="R2" s="225" t="s">
        <v>1</v>
      </c>
      <c r="S2" s="225"/>
      <c r="T2" s="3"/>
      <c r="U2" s="225" t="s">
        <v>0</v>
      </c>
      <c r="V2" s="225"/>
      <c r="W2" s="4"/>
    </row>
    <row r="3" spans="1:23" ht="14.7" thickBot="1" x14ac:dyDescent="0.6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5" thickTop="1" thickBot="1" x14ac:dyDescent="0.6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 t="s">
        <v>81</v>
      </c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5" thickTop="1" thickBot="1" x14ac:dyDescent="0.6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 t="s">
        <v>135</v>
      </c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5" thickTop="1" thickBot="1" x14ac:dyDescent="0.6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>bye</v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>team 31</v>
      </c>
      <c r="P6" s="124"/>
      <c r="Q6" s="5"/>
      <c r="R6" s="10"/>
      <c r="S6" s="5"/>
      <c r="T6" s="5"/>
      <c r="U6" s="10"/>
      <c r="V6" s="5"/>
      <c r="W6" s="7"/>
    </row>
    <row r="7" spans="1:23" ht="15" thickTop="1" thickBot="1" x14ac:dyDescent="0.6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5" thickTop="1" thickBot="1" x14ac:dyDescent="0.6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 t="s">
        <v>60</v>
      </c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5" thickTop="1" thickBot="1" x14ac:dyDescent="0.6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 t="s">
        <v>48</v>
      </c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5" thickTop="1" thickBot="1" x14ac:dyDescent="0.6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5" thickTop="1" thickBot="1" x14ac:dyDescent="0.6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>bye</v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5" thickTop="1" thickBot="1" x14ac:dyDescent="0.6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 t="s">
        <v>58</v>
      </c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5" thickTop="1" thickBot="1" x14ac:dyDescent="0.6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 t="s">
        <v>135</v>
      </c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5" thickTop="1" thickBot="1" x14ac:dyDescent="0.6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>bye</v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>team 11</v>
      </c>
      <c r="P14" s="124"/>
      <c r="Q14" s="157"/>
      <c r="R14" s="10"/>
      <c r="S14" s="5"/>
      <c r="T14" s="144"/>
      <c r="U14" s="10"/>
      <c r="V14" s="5"/>
      <c r="W14" s="7"/>
    </row>
    <row r="15" spans="1:23" ht="15" thickTop="1" thickBot="1" x14ac:dyDescent="0.6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>bye</v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>team 22</v>
      </c>
      <c r="P15" s="126"/>
      <c r="Q15" s="5"/>
      <c r="R15" s="10"/>
      <c r="S15" s="5"/>
      <c r="T15" s="144"/>
      <c r="U15" s="10"/>
      <c r="V15" s="5"/>
      <c r="W15" s="7"/>
    </row>
    <row r="16" spans="1:23" ht="15" thickTop="1" thickBot="1" x14ac:dyDescent="0.6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 t="s">
        <v>69</v>
      </c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5" thickTop="1" thickBot="1" x14ac:dyDescent="0.6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 t="s">
        <v>135</v>
      </c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4.7" thickTop="1" x14ac:dyDescent="0.55000000000000004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4.7" thickBot="1" x14ac:dyDescent="0.6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5" thickTop="1" thickBot="1" x14ac:dyDescent="0.6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 t="s">
        <v>53</v>
      </c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5" thickTop="1" thickBot="1" x14ac:dyDescent="0.6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 t="s">
        <v>135</v>
      </c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5" thickTop="1" thickBot="1" x14ac:dyDescent="0.6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>bye</v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>team 6</v>
      </c>
      <c r="P22" s="124"/>
      <c r="Q22" s="5"/>
      <c r="R22" s="10"/>
      <c r="S22" s="5"/>
      <c r="T22" s="144"/>
      <c r="U22" s="10"/>
      <c r="V22" s="5"/>
      <c r="W22" s="7"/>
    </row>
    <row r="23" spans="1:23" ht="15" thickTop="1" thickBot="1" x14ac:dyDescent="0.6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>bye</v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>team 30</v>
      </c>
      <c r="P23" s="126"/>
      <c r="Q23" s="156"/>
      <c r="R23" s="10"/>
      <c r="S23" s="5"/>
      <c r="T23" s="144"/>
      <c r="U23" s="10"/>
      <c r="V23" s="5"/>
      <c r="W23" s="7"/>
    </row>
    <row r="24" spans="1:23" ht="15" thickTop="1" thickBot="1" x14ac:dyDescent="0.6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 t="s">
        <v>79</v>
      </c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5" thickTop="1" thickBot="1" x14ac:dyDescent="0.6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 t="s">
        <v>135</v>
      </c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5" thickTop="1" thickBot="1" x14ac:dyDescent="0.6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>bye</v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5" thickTop="1" thickBot="1" x14ac:dyDescent="0.6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5" thickTop="1" thickBot="1" x14ac:dyDescent="0.6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 t="s">
        <v>67</v>
      </c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6.2" thickTop="1" thickBot="1" x14ac:dyDescent="0.65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 t="s">
        <v>72</v>
      </c>
      <c r="M29" s="122"/>
      <c r="N29" s="156"/>
      <c r="O29" s="10"/>
      <c r="P29" s="5"/>
      <c r="Q29" s="144"/>
      <c r="R29" s="10"/>
      <c r="S29" s="5"/>
      <c r="T29" s="5"/>
      <c r="U29" s="236" t="s">
        <v>6</v>
      </c>
      <c r="V29" s="237"/>
      <c r="W29" s="7"/>
    </row>
    <row r="30" spans="1:23" ht="15" thickTop="1" thickBot="1" x14ac:dyDescent="0.6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5" thickTop="1" thickBot="1" x14ac:dyDescent="0.6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>bye</v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>team 19</v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5" thickTop="1" thickBot="1" x14ac:dyDescent="0.6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 t="s">
        <v>66</v>
      </c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5" thickTop="1" thickBot="1" x14ac:dyDescent="0.6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 t="s">
        <v>135</v>
      </c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4.7" thickTop="1" x14ac:dyDescent="0.55000000000000004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5" priority="2">
      <formula>$B$18&gt;$B$19</formula>
    </cfRule>
  </conditionalFormatting>
  <conditionalFormatting sqref="C19">
    <cfRule type="expression" dxfId="4" priority="1">
      <formula>$B$19&gt;$B$18</formula>
    </cfRule>
  </conditionalFormatting>
  <conditionalFormatting sqref="U18">
    <cfRule type="expression" dxfId="3" priority="6">
      <formula>$V$18&gt;$V$19</formula>
    </cfRule>
  </conditionalFormatting>
  <conditionalFormatting sqref="U19">
    <cfRule type="expression" dxfId="2" priority="4">
      <formula>$V$19&gt;$V$18</formula>
    </cfRule>
  </conditionalFormatting>
  <conditionalFormatting sqref="U30">
    <cfRule type="expression" dxfId="1" priority="5">
      <formula>$V$30&gt;$V$31</formula>
    </cfRule>
  </conditionalFormatting>
  <conditionalFormatting sqref="U31">
    <cfRule type="expression" dxfId="0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"/>
  <sheetViews>
    <sheetView zoomScale="170" zoomScaleNormal="170" workbookViewId="0"/>
  </sheetViews>
  <sheetFormatPr defaultRowHeight="14.4" x14ac:dyDescent="0.55000000000000004"/>
  <cols>
    <col min="1" max="1" width="2.68359375" customWidth="1"/>
    <col min="2" max="2" width="3.68359375" customWidth="1"/>
    <col min="3" max="3" width="11.68359375" customWidth="1"/>
    <col min="4" max="4" width="9.68359375" customWidth="1"/>
    <col min="5" max="5" width="3.68359375" customWidth="1"/>
    <col min="6" max="6" width="11.68359375" customWidth="1"/>
    <col min="7" max="7" width="9.68359375" customWidth="1"/>
    <col min="8" max="8" width="3.68359375" customWidth="1"/>
    <col min="9" max="9" width="11.68359375" customWidth="1"/>
    <col min="10" max="10" width="3.68359375" customWidth="1"/>
    <col min="11" max="11" width="9.68359375" customWidth="1"/>
    <col min="12" max="12" width="11.68359375" customWidth="1"/>
    <col min="13" max="13" width="3.68359375" customWidth="1"/>
    <col min="14" max="14" width="9.68359375" customWidth="1"/>
    <col min="15" max="15" width="11.68359375" customWidth="1"/>
    <col min="16" max="16" width="3.68359375" customWidth="1"/>
    <col min="17" max="17" width="2.68359375" customWidth="1"/>
    <col min="18" max="18" width="11.68359375" customWidth="1"/>
    <col min="19" max="19" width="3.68359375" customWidth="1"/>
    <col min="20" max="20" width="9.68359375" customWidth="1"/>
    <col min="21" max="21" width="11.68359375" customWidth="1"/>
    <col min="22" max="22" width="3.68359375" customWidth="1"/>
    <col min="23" max="23" width="2.68359375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18" workbookViewId="0">
      <selection activeCell="N41" sqref="N41"/>
    </sheetView>
  </sheetViews>
  <sheetFormatPr defaultRowHeight="14.4" x14ac:dyDescent="0.55000000000000004"/>
  <cols>
    <col min="3" max="4" width="9.15625" customWidth="1"/>
  </cols>
  <sheetData>
    <row r="1" spans="1:20" x14ac:dyDescent="0.55000000000000004">
      <c r="A1" s="42" t="s">
        <v>12</v>
      </c>
      <c r="B1" s="43" t="s">
        <v>84</v>
      </c>
      <c r="C1" s="43" t="s">
        <v>85</v>
      </c>
      <c r="D1" s="43" t="s">
        <v>87</v>
      </c>
      <c r="E1" s="44" t="s">
        <v>86</v>
      </c>
      <c r="F1" s="42" t="s">
        <v>13</v>
      </c>
      <c r="G1" s="43" t="s">
        <v>84</v>
      </c>
      <c r="H1" s="43" t="s">
        <v>85</v>
      </c>
      <c r="I1" s="43" t="s">
        <v>87</v>
      </c>
      <c r="J1" s="44" t="s">
        <v>86</v>
      </c>
      <c r="K1" s="42" t="s">
        <v>14</v>
      </c>
      <c r="L1" s="43" t="s">
        <v>84</v>
      </c>
      <c r="M1" s="43" t="s">
        <v>85</v>
      </c>
      <c r="N1" s="43" t="s">
        <v>87</v>
      </c>
      <c r="O1" s="44" t="s">
        <v>86</v>
      </c>
      <c r="P1" s="42" t="s">
        <v>15</v>
      </c>
      <c r="Q1" s="43" t="s">
        <v>84</v>
      </c>
      <c r="R1" s="43" t="s">
        <v>85</v>
      </c>
      <c r="S1" s="43" t="s">
        <v>87</v>
      </c>
      <c r="T1" s="44" t="s">
        <v>86</v>
      </c>
    </row>
    <row r="2" spans="1:20" x14ac:dyDescent="0.55000000000000004">
      <c r="A2" s="45" t="str" cm="1">
        <f t="array" ref="A2:A5">Pools!$B$2:$B$5</f>
        <v>team 1</v>
      </c>
      <c r="B2" s="55">
        <f>B7+B8+B9</f>
        <v>35</v>
      </c>
      <c r="C2" s="55">
        <f>B7+B8+B9+C7+C8+C9</f>
        <v>122</v>
      </c>
      <c r="D2" s="56">
        <f>IFERROR(B2/C2,"")</f>
        <v>0.28688524590163933</v>
      </c>
      <c r="E2" s="57">
        <f>IF(LEN(D2)=0,"",COUNTIF($E$7:$E$12,A2))</f>
        <v>0</v>
      </c>
      <c r="F2" s="45" t="str" cm="1">
        <f t="array" ref="F2:F5">Pools!$D$2:$D$5</f>
        <v>team 5</v>
      </c>
      <c r="G2" s="55">
        <f>G7+G8+G9</f>
        <v>51</v>
      </c>
      <c r="H2" s="55">
        <f>G7+G8+G9+H7+H8+H9</f>
        <v>111</v>
      </c>
      <c r="I2" s="56">
        <f>IFERROR(G2/H2,"")</f>
        <v>0.45945945945945948</v>
      </c>
      <c r="J2" s="57">
        <f>IF(LEN(I2)=0,"",COUNTIF($J$7:$J$12,F2))</f>
        <v>1</v>
      </c>
      <c r="K2" s="45" t="str" cm="1">
        <f t="array" ref="K2:K5">Pools!$F$2:$F$5</f>
        <v>team 9</v>
      </c>
      <c r="L2" s="55">
        <f>L7+L8+L9</f>
        <v>55</v>
      </c>
      <c r="M2" s="55">
        <f>L7+L8+L9+M7+M8+M9</f>
        <v>101</v>
      </c>
      <c r="N2" s="56">
        <f>IFERROR(L2/M2,"")</f>
        <v>0.54455445544554459</v>
      </c>
      <c r="O2" s="57">
        <f>IF(LEN(N2)=0,"",COUNTIF($O$7:$O$12,K2))</f>
        <v>2</v>
      </c>
      <c r="P2" s="45" t="str" cm="1">
        <f t="array" ref="P2:P5">Pools!$H$2:$H$5</f>
        <v>team 13</v>
      </c>
      <c r="Q2" s="55">
        <f>Q7+Q8+Q9</f>
        <v>36</v>
      </c>
      <c r="R2" s="55">
        <f>Q7+Q8+Q9+R7+R8+R9</f>
        <v>108</v>
      </c>
      <c r="S2" s="56">
        <f>IFERROR(Q2/R2,"")</f>
        <v>0.33333333333333331</v>
      </c>
      <c r="T2" s="57">
        <f>IF(LEN(S2)=0,"",COUNTIF($T$7:$T$12,P2))</f>
        <v>0</v>
      </c>
    </row>
    <row r="3" spans="1:20" x14ac:dyDescent="0.55000000000000004">
      <c r="A3" s="46" t="str">
        <v>team 2</v>
      </c>
      <c r="B3" s="55">
        <f>B10+B11+C7</f>
        <v>60</v>
      </c>
      <c r="C3" s="55">
        <f>B7+C7+B10+C10+B11+C11</f>
        <v>102</v>
      </c>
      <c r="D3" s="56">
        <f>IFERROR(B3/C3,"")</f>
        <v>0.58823529411764708</v>
      </c>
      <c r="E3" s="58">
        <f>IF(LEN(D3)=0,"",COUNTIF($E$7:$E$12,A3))</f>
        <v>2</v>
      </c>
      <c r="F3" s="46" t="str">
        <v>team 6</v>
      </c>
      <c r="G3" s="55">
        <f>G10+G11+H7</f>
        <v>44</v>
      </c>
      <c r="H3" s="55">
        <f>G7+H7+G10+H10+G11+H11</f>
        <v>92</v>
      </c>
      <c r="I3" s="56">
        <f>IFERROR(G3/H3,"")</f>
        <v>0.47826086956521741</v>
      </c>
      <c r="J3" s="58">
        <f>IF(LEN(I3)=0,"",COUNTIF($J$7:$J$12,F3))</f>
        <v>1</v>
      </c>
      <c r="K3" s="46" t="str">
        <v>team 10</v>
      </c>
      <c r="L3" s="55">
        <f>L10+L11+M7</f>
        <v>57</v>
      </c>
      <c r="M3" s="55">
        <f>L7+M7+L10+M10+L11+M11</f>
        <v>97</v>
      </c>
      <c r="N3" s="56">
        <f>IFERROR(L3/M3,"")</f>
        <v>0.58762886597938147</v>
      </c>
      <c r="O3" s="58">
        <f>IF(LEN(N3)=0,"",COUNTIF($O$7:$O$12,K3))</f>
        <v>2</v>
      </c>
      <c r="P3" s="46" t="str">
        <v>team 14</v>
      </c>
      <c r="Q3" s="55">
        <f>Q10+Q11+R7</f>
        <v>58</v>
      </c>
      <c r="R3" s="55">
        <f>Q7+R7+Q10+R10+Q11+R11</f>
        <v>113</v>
      </c>
      <c r="S3" s="56">
        <f>IFERROR(Q3/R3,"")</f>
        <v>0.51327433628318586</v>
      </c>
      <c r="T3" s="58">
        <f>IF(LEN(S3)=0,"",COUNTIF($T$7:$T$12,P3))</f>
        <v>2</v>
      </c>
    </row>
    <row r="4" spans="1:20" x14ac:dyDescent="0.55000000000000004">
      <c r="A4" s="46" t="str">
        <v>team 3</v>
      </c>
      <c r="B4" s="55">
        <f>B12+C8+C10</f>
        <v>56</v>
      </c>
      <c r="C4" s="55">
        <f>B8+C8+B10+C10+B12+C12</f>
        <v>136</v>
      </c>
      <c r="D4" s="56">
        <f>IFERROR(B4/C4,"")</f>
        <v>0.41176470588235292</v>
      </c>
      <c r="E4" s="58">
        <f>IF(LEN(D4)=0,"",COUNTIF($E$7:$E$12,A4))</f>
        <v>1</v>
      </c>
      <c r="F4" s="46" t="str">
        <v>team 7</v>
      </c>
      <c r="G4" s="55">
        <f>G12+H8+H10</f>
        <v>50</v>
      </c>
      <c r="H4" s="55">
        <f>G8+H8+G10+H10+G12+H12</f>
        <v>94</v>
      </c>
      <c r="I4" s="56">
        <f>IFERROR(G4/H4,"")</f>
        <v>0.53191489361702127</v>
      </c>
      <c r="J4" s="58">
        <f>IF(LEN(I4)=0,"",COUNTIF($J$7:$J$12,F4))</f>
        <v>2</v>
      </c>
      <c r="K4" s="46" t="str">
        <v>team 11</v>
      </c>
      <c r="L4" s="55">
        <f>L12+M8+M10</f>
        <v>49</v>
      </c>
      <c r="M4" s="55">
        <f>L8+M8+L10+M10+L12+M12</f>
        <v>121</v>
      </c>
      <c r="N4" s="56">
        <f>IFERROR(L4/M4,"")</f>
        <v>0.4049586776859504</v>
      </c>
      <c r="O4" s="58">
        <f>IF(LEN(N4)=0,"",COUNTIF($O$7:$O$12,K4))</f>
        <v>1</v>
      </c>
      <c r="P4" s="46" t="str">
        <v>team 15</v>
      </c>
      <c r="Q4" s="55">
        <f>Q12+R8+R10</f>
        <v>58</v>
      </c>
      <c r="R4" s="55">
        <f>Q8+R8+Q10+R10+Q12+R12</f>
        <v>92</v>
      </c>
      <c r="S4" s="56">
        <f>IFERROR(Q4/R4,"")</f>
        <v>0.63043478260869568</v>
      </c>
      <c r="T4" s="58">
        <f>IF(LEN(S4)=0,"",COUNTIF($T$7:$T$12,P4))</f>
        <v>2</v>
      </c>
    </row>
    <row r="5" spans="1:20" x14ac:dyDescent="0.55000000000000004">
      <c r="A5" s="47" t="str">
        <v>team 4</v>
      </c>
      <c r="B5" s="55">
        <f>C9+C11+C12</f>
        <v>85</v>
      </c>
      <c r="C5" s="55">
        <f>B9+C9+B11+C11+B12+C12</f>
        <v>112</v>
      </c>
      <c r="D5" s="56">
        <f>IFERROR(B5/C5,"")</f>
        <v>0.7589285714285714</v>
      </c>
      <c r="E5" s="59">
        <f>IF(LEN(D5)=0,"",COUNTIF($E$7:$E$12,A5))</f>
        <v>3</v>
      </c>
      <c r="F5" s="47" t="str">
        <v>team 8</v>
      </c>
      <c r="G5" s="55">
        <f>H9+H11+H12</f>
        <v>50</v>
      </c>
      <c r="H5" s="55">
        <f>G9+H9+G11+H11+G12+H12</f>
        <v>93</v>
      </c>
      <c r="I5" s="56">
        <f>IFERROR(G5/H5,"")</f>
        <v>0.5376344086021505</v>
      </c>
      <c r="J5" s="59">
        <f>IF(LEN(I5)=0,"",COUNTIF($J$7:$J$12,F5))</f>
        <v>2</v>
      </c>
      <c r="K5" s="47" t="str">
        <v>team 12</v>
      </c>
      <c r="L5" s="55">
        <f>M9+M11+M12</f>
        <v>52</v>
      </c>
      <c r="M5" s="55">
        <f>L9+M9+L11+M11+L12+M12</f>
        <v>107</v>
      </c>
      <c r="N5" s="56">
        <f>IFERROR(L5/M5,"")</f>
        <v>0.48598130841121495</v>
      </c>
      <c r="O5" s="59">
        <f>IF(LEN(N5)=0,"",COUNTIF($O$7:$O$12,K5))</f>
        <v>1</v>
      </c>
      <c r="P5" s="47" t="str">
        <v>team 16</v>
      </c>
      <c r="Q5" s="55">
        <f>R9+R11+R12</f>
        <v>49</v>
      </c>
      <c r="R5" s="55">
        <f>Q9+R9+Q11+R11+Q12+R12</f>
        <v>89</v>
      </c>
      <c r="S5" s="56">
        <f>IFERROR(Q5/R5,"")</f>
        <v>0.550561797752809</v>
      </c>
      <c r="T5" s="59">
        <f>IF(LEN(S5)=0,"",COUNTIF($T$7:$T$12,P5))</f>
        <v>2</v>
      </c>
    </row>
    <row r="6" spans="1:20" x14ac:dyDescent="0.55000000000000004">
      <c r="A6" s="48"/>
      <c r="B6" s="39"/>
      <c r="C6" s="39"/>
      <c r="D6" s="39"/>
      <c r="E6" s="49" t="s">
        <v>89</v>
      </c>
      <c r="F6" s="48"/>
      <c r="G6" s="39"/>
      <c r="H6" s="39"/>
      <c r="I6" s="39"/>
      <c r="J6" s="49" t="s">
        <v>89</v>
      </c>
      <c r="K6" s="48"/>
      <c r="L6" s="39"/>
      <c r="M6" s="39"/>
      <c r="N6" s="39"/>
      <c r="O6" s="49" t="s">
        <v>89</v>
      </c>
      <c r="P6" s="48"/>
      <c r="Q6" s="39"/>
      <c r="R6" s="39"/>
      <c r="S6" s="39"/>
      <c r="T6" s="49" t="s">
        <v>89</v>
      </c>
    </row>
    <row r="7" spans="1:20" x14ac:dyDescent="0.55000000000000004">
      <c r="A7" s="50" t="str">
        <f>A2</f>
        <v>team 1</v>
      </c>
      <c r="B7" s="55">
        <f>'Pool Scores'!C3</f>
        <v>5</v>
      </c>
      <c r="C7" s="64">
        <f>'Pool Scores'!D3</f>
        <v>28</v>
      </c>
      <c r="D7" t="str">
        <f>A3</f>
        <v>team 2</v>
      </c>
      <c r="E7" s="60" t="str">
        <f t="shared" ref="E7:E12" si="0">IF(OR(LEN(B7)=0,LEN(C7)=0),"",IF(B7&gt;C7,A7,D7))</f>
        <v>team 2</v>
      </c>
      <c r="F7" s="50" t="str">
        <f>F2</f>
        <v>team 5</v>
      </c>
      <c r="G7" s="55">
        <f>'Pool Scores'!C9</f>
        <v>25</v>
      </c>
      <c r="H7" s="64">
        <f>'Pool Scores'!D9</f>
        <v>18</v>
      </c>
      <c r="I7" t="str">
        <f>F3</f>
        <v>team 6</v>
      </c>
      <c r="J7" s="60" t="str">
        <f t="shared" ref="J7:J12" si="1">IF(OR(LEN(G7)=0,LEN(H7)=0),"",IF(G7&gt;H7,F7,I7))</f>
        <v>team 5</v>
      </c>
      <c r="K7" s="50" t="str">
        <f>K2</f>
        <v>team 9</v>
      </c>
      <c r="L7" s="55">
        <f>'Pool Scores'!C15</f>
        <v>5</v>
      </c>
      <c r="M7" s="64">
        <f>'Pool Scores'!D15</f>
        <v>19</v>
      </c>
      <c r="N7" t="str">
        <f>K3</f>
        <v>team 10</v>
      </c>
      <c r="O7" s="60" t="str">
        <f t="shared" ref="O7:O12" si="2">IF(OR(LEN(L7)=0,LEN(M7)=0),"",IF(L7&gt;M7,K7,N7))</f>
        <v>team 10</v>
      </c>
      <c r="P7" s="50" t="str">
        <f>P2</f>
        <v>team 13</v>
      </c>
      <c r="Q7" s="55">
        <f>'Pool Scores'!C21</f>
        <v>15</v>
      </c>
      <c r="R7" s="64">
        <f>'Pool Scores'!D21</f>
        <v>27</v>
      </c>
      <c r="S7" t="str">
        <f>P3</f>
        <v>team 14</v>
      </c>
      <c r="T7" s="60" t="str">
        <f t="shared" ref="T7:T12" si="3">IF(OR(LEN(Q7)=0,LEN(R7)=0),"",IF(Q7&gt;R7,P7,S7))</f>
        <v>team 14</v>
      </c>
    </row>
    <row r="8" spans="1:20" x14ac:dyDescent="0.55000000000000004">
      <c r="A8" s="50" t="str">
        <f>A2</f>
        <v>team 1</v>
      </c>
      <c r="B8" s="55">
        <f>'Pool Scores'!C4</f>
        <v>28</v>
      </c>
      <c r="C8" s="64">
        <f>'Pool Scores'!D4</f>
        <v>29</v>
      </c>
      <c r="D8" t="str">
        <f>A4</f>
        <v>team 3</v>
      </c>
      <c r="E8" s="61" t="str">
        <f t="shared" si="0"/>
        <v>team 3</v>
      </c>
      <c r="F8" s="50" t="str">
        <f>F2</f>
        <v>team 5</v>
      </c>
      <c r="G8" s="55">
        <f>'Pool Scores'!C10</f>
        <v>23</v>
      </c>
      <c r="H8" s="64">
        <f>'Pool Scores'!D10</f>
        <v>27</v>
      </c>
      <c r="I8" t="str">
        <f>F4</f>
        <v>team 7</v>
      </c>
      <c r="J8" s="61" t="str">
        <f t="shared" si="1"/>
        <v>team 7</v>
      </c>
      <c r="K8" s="50" t="str">
        <f>K2</f>
        <v>team 9</v>
      </c>
      <c r="L8" s="55">
        <f>'Pool Scores'!C16</f>
        <v>21</v>
      </c>
      <c r="M8" s="64">
        <f>'Pool Scores'!D16</f>
        <v>19</v>
      </c>
      <c r="N8" t="str">
        <f>K4</f>
        <v>team 11</v>
      </c>
      <c r="O8" s="61" t="str">
        <f t="shared" si="2"/>
        <v>team 9</v>
      </c>
      <c r="P8" s="50" t="str">
        <f>P2</f>
        <v>team 13</v>
      </c>
      <c r="Q8" s="55">
        <f>'Pool Scores'!C22</f>
        <v>2</v>
      </c>
      <c r="R8" s="64">
        <f>'Pool Scores'!D22</f>
        <v>26</v>
      </c>
      <c r="S8" t="str">
        <f>P4</f>
        <v>team 15</v>
      </c>
      <c r="T8" s="61" t="str">
        <f t="shared" si="3"/>
        <v>team 15</v>
      </c>
    </row>
    <row r="9" spans="1:20" x14ac:dyDescent="0.55000000000000004">
      <c r="A9" s="50" t="str">
        <f>A2</f>
        <v>team 1</v>
      </c>
      <c r="B9" s="55">
        <f>'Pool Scores'!C5</f>
        <v>2</v>
      </c>
      <c r="C9" s="64">
        <f>'Pool Scores'!D5</f>
        <v>30</v>
      </c>
      <c r="D9" t="str">
        <f>A5</f>
        <v>team 4</v>
      </c>
      <c r="E9" s="61" t="str">
        <f t="shared" si="0"/>
        <v>team 4</v>
      </c>
      <c r="F9" s="50" t="str">
        <f>F2</f>
        <v>team 5</v>
      </c>
      <c r="G9" s="55">
        <f>'Pool Scores'!C11</f>
        <v>3</v>
      </c>
      <c r="H9" s="64">
        <f>'Pool Scores'!D11</f>
        <v>15</v>
      </c>
      <c r="I9" t="str">
        <f>F5</f>
        <v>team 8</v>
      </c>
      <c r="J9" s="61" t="str">
        <f t="shared" si="1"/>
        <v>team 8</v>
      </c>
      <c r="K9" s="50" t="str">
        <f>K2</f>
        <v>team 9</v>
      </c>
      <c r="L9" s="55">
        <f>'Pool Scores'!C17</f>
        <v>29</v>
      </c>
      <c r="M9" s="64">
        <f>'Pool Scores'!D17</f>
        <v>8</v>
      </c>
      <c r="N9" t="str">
        <f>K5</f>
        <v>team 12</v>
      </c>
      <c r="O9" s="61" t="str">
        <f t="shared" si="2"/>
        <v>team 9</v>
      </c>
      <c r="P9" s="50" t="str">
        <f>P2</f>
        <v>team 13</v>
      </c>
      <c r="Q9" s="55">
        <f>'Pool Scores'!C23</f>
        <v>19</v>
      </c>
      <c r="R9" s="64">
        <f>'Pool Scores'!D23</f>
        <v>19</v>
      </c>
      <c r="S9" t="str">
        <f>P5</f>
        <v>team 16</v>
      </c>
      <c r="T9" s="61" t="str">
        <f t="shared" si="3"/>
        <v>team 16</v>
      </c>
    </row>
    <row r="10" spans="1:20" x14ac:dyDescent="0.55000000000000004">
      <c r="A10" s="50" t="str">
        <f>A3</f>
        <v>team 2</v>
      </c>
      <c r="B10" s="55">
        <f>'Pool Scores'!E4</f>
        <v>25</v>
      </c>
      <c r="C10" s="64">
        <f>'Pool Scores'!F4</f>
        <v>9</v>
      </c>
      <c r="D10" t="str">
        <f>A4</f>
        <v>team 3</v>
      </c>
      <c r="E10" s="61" t="str">
        <f t="shared" si="0"/>
        <v>team 2</v>
      </c>
      <c r="F10" s="50" t="str">
        <f>F3</f>
        <v>team 6</v>
      </c>
      <c r="G10" s="55">
        <f>'Pool Scores'!E10</f>
        <v>6</v>
      </c>
      <c r="H10" s="64">
        <f>'Pool Scores'!F10</f>
        <v>3</v>
      </c>
      <c r="I10" t="str">
        <f>F4</f>
        <v>team 7</v>
      </c>
      <c r="J10" s="61" t="str">
        <f t="shared" si="1"/>
        <v>team 6</v>
      </c>
      <c r="K10" s="50" t="str">
        <f>K3</f>
        <v>team 10</v>
      </c>
      <c r="L10" s="55">
        <f>'Pool Scores'!E16</f>
        <v>21</v>
      </c>
      <c r="M10" s="64">
        <f>'Pool Scores'!F16</f>
        <v>21</v>
      </c>
      <c r="N10" t="str">
        <f>K4</f>
        <v>team 11</v>
      </c>
      <c r="O10" s="61" t="str">
        <f t="shared" si="2"/>
        <v>team 11</v>
      </c>
      <c r="P10" s="50" t="str">
        <f>P3</f>
        <v>team 14</v>
      </c>
      <c r="Q10" s="55">
        <f>'Pool Scores'!E22</f>
        <v>30</v>
      </c>
      <c r="R10" s="64">
        <f>'Pool Scores'!F22</f>
        <v>12</v>
      </c>
      <c r="S10" t="str">
        <f>P4</f>
        <v>team 15</v>
      </c>
      <c r="T10" s="61" t="str">
        <f t="shared" si="3"/>
        <v>team 14</v>
      </c>
    </row>
    <row r="11" spans="1:20" x14ac:dyDescent="0.55000000000000004">
      <c r="A11" s="50" t="str">
        <f>A3</f>
        <v>team 2</v>
      </c>
      <c r="B11" s="55">
        <f>'Pool Scores'!E5</f>
        <v>7</v>
      </c>
      <c r="C11" s="64">
        <f>'Pool Scores'!F5</f>
        <v>28</v>
      </c>
      <c r="D11" t="str">
        <f>A5</f>
        <v>team 4</v>
      </c>
      <c r="E11" s="61" t="str">
        <f t="shared" si="0"/>
        <v>team 4</v>
      </c>
      <c r="F11" s="50" t="str">
        <f>F3</f>
        <v>team 6</v>
      </c>
      <c r="G11" s="55">
        <f>'Pool Scores'!E11</f>
        <v>20</v>
      </c>
      <c r="H11" s="64">
        <f>'Pool Scores'!F11</f>
        <v>20</v>
      </c>
      <c r="I11" t="str">
        <f>F5</f>
        <v>team 8</v>
      </c>
      <c r="J11" s="61" t="str">
        <f t="shared" si="1"/>
        <v>team 8</v>
      </c>
      <c r="K11" s="50" t="str">
        <f>K3</f>
        <v>team 10</v>
      </c>
      <c r="L11" s="55">
        <f>'Pool Scores'!E17</f>
        <v>17</v>
      </c>
      <c r="M11" s="64">
        <f>'Pool Scores'!F17</f>
        <v>14</v>
      </c>
      <c r="N11" t="str">
        <f>K5</f>
        <v>team 12</v>
      </c>
      <c r="O11" s="61" t="str">
        <f t="shared" si="2"/>
        <v>team 10</v>
      </c>
      <c r="P11" s="50" t="str">
        <f>P3</f>
        <v>team 14</v>
      </c>
      <c r="Q11" s="55">
        <f>'Pool Scores'!E23</f>
        <v>1</v>
      </c>
      <c r="R11" s="64">
        <f>'Pool Scores'!F23</f>
        <v>28</v>
      </c>
      <c r="S11" t="str">
        <f>P5</f>
        <v>team 16</v>
      </c>
      <c r="T11" s="61" t="str">
        <f t="shared" si="3"/>
        <v>team 16</v>
      </c>
    </row>
    <row r="12" spans="1:20" x14ac:dyDescent="0.55000000000000004">
      <c r="A12" s="50" t="str">
        <f>A4</f>
        <v>team 3</v>
      </c>
      <c r="B12" s="55">
        <f>'Pool Scores'!G5</f>
        <v>18</v>
      </c>
      <c r="C12" s="64">
        <f>'Pool Scores'!H5</f>
        <v>27</v>
      </c>
      <c r="D12" t="str">
        <f>A5</f>
        <v>team 4</v>
      </c>
      <c r="E12" s="62" t="str">
        <f t="shared" si="0"/>
        <v>team 4</v>
      </c>
      <c r="F12" s="50" t="str">
        <f>F4</f>
        <v>team 7</v>
      </c>
      <c r="G12" s="55">
        <f>'Pool Scores'!G11</f>
        <v>20</v>
      </c>
      <c r="H12" s="64">
        <f>'Pool Scores'!H11</f>
        <v>15</v>
      </c>
      <c r="I12" t="str">
        <f>F5</f>
        <v>team 8</v>
      </c>
      <c r="J12" s="62" t="str">
        <f t="shared" si="1"/>
        <v>team 7</v>
      </c>
      <c r="K12" s="50" t="str">
        <f>K4</f>
        <v>team 11</v>
      </c>
      <c r="L12" s="55">
        <f>'Pool Scores'!G17</f>
        <v>9</v>
      </c>
      <c r="M12" s="64">
        <f>'Pool Scores'!H17</f>
        <v>30</v>
      </c>
      <c r="N12" t="str">
        <f>K5</f>
        <v>team 12</v>
      </c>
      <c r="O12" s="62" t="str">
        <f t="shared" si="2"/>
        <v>team 12</v>
      </c>
      <c r="P12" s="50" t="str">
        <f>P4</f>
        <v>team 15</v>
      </c>
      <c r="Q12" s="55">
        <f>'Pool Scores'!G23</f>
        <v>20</v>
      </c>
      <c r="R12" s="64">
        <f>'Pool Scores'!H23</f>
        <v>2</v>
      </c>
      <c r="S12" t="str">
        <f>P5</f>
        <v>team 16</v>
      </c>
      <c r="T12" s="62" t="str">
        <f t="shared" si="3"/>
        <v>team 15</v>
      </c>
    </row>
    <row r="13" spans="1:20" x14ac:dyDescent="0.55000000000000004">
      <c r="A13" s="48" t="s">
        <v>88</v>
      </c>
      <c r="B13" s="39" t="s">
        <v>90</v>
      </c>
      <c r="C13" s="39" t="s">
        <v>103</v>
      </c>
      <c r="D13" s="39"/>
      <c r="E13" s="49"/>
      <c r="F13" s="48" t="s">
        <v>88</v>
      </c>
      <c r="G13" s="39" t="s">
        <v>90</v>
      </c>
      <c r="H13" s="39" t="s">
        <v>103</v>
      </c>
      <c r="I13" s="39"/>
      <c r="J13" s="49"/>
      <c r="K13" s="48" t="s">
        <v>88</v>
      </c>
      <c r="L13" s="39" t="s">
        <v>90</v>
      </c>
      <c r="M13" s="39" t="s">
        <v>103</v>
      </c>
      <c r="N13" s="39"/>
      <c r="O13" s="49"/>
      <c r="P13" s="48" t="s">
        <v>88</v>
      </c>
      <c r="Q13" s="39" t="s">
        <v>90</v>
      </c>
      <c r="R13" s="39" t="s">
        <v>103</v>
      </c>
      <c r="S13" s="39"/>
      <c r="T13" s="49"/>
    </row>
    <row r="14" spans="1:20" x14ac:dyDescent="0.55000000000000004">
      <c r="A14" s="50" t="str" cm="1">
        <f t="array" ref="A14:A17">_xlfn.SORTBY(A2:A5,E2:E5,-1,B2:B5,-1,D2:D5,-1)</f>
        <v>team 4</v>
      </c>
      <c r="B14" s="65" cm="1">
        <f t="array" ref="B14">_xlfn.XLOOKUP(A14,_xlfn.ANCHORARRAY(A2),D2:D5,"")</f>
        <v>0.7589285714285714</v>
      </c>
      <c r="C14">
        <f>4+B14</f>
        <v>4.7589285714285712</v>
      </c>
      <c r="E14" s="51"/>
      <c r="F14" s="50" t="str" cm="1">
        <f t="array" ref="F14:F17">_xlfn.SORTBY(F2:F5,J2:J5,-1,G2:G5,-1,I2:I5,-1)</f>
        <v>team 8</v>
      </c>
      <c r="G14" s="65" cm="1">
        <f t="array" ref="G14">_xlfn.XLOOKUP(F14,_xlfn.ANCHORARRAY(F2),I2:I5,"")</f>
        <v>0.5376344086021505</v>
      </c>
      <c r="H14">
        <f>4+G14</f>
        <v>4.5376344086021501</v>
      </c>
      <c r="J14" s="51"/>
      <c r="K14" s="50" t="str" cm="1">
        <f t="array" ref="K14:K17">_xlfn.SORTBY(K2:K5,O2:O5,-1,L2:L5,-1,N2:N5,-1)</f>
        <v>team 10</v>
      </c>
      <c r="L14" s="65" cm="1">
        <f t="array" ref="L14">_xlfn.XLOOKUP(K14,_xlfn.ANCHORARRAY(K2),N2:N5,"")</f>
        <v>0.58762886597938147</v>
      </c>
      <c r="M14">
        <f>4+L14</f>
        <v>4.5876288659793811</v>
      </c>
      <c r="O14" s="51"/>
      <c r="P14" s="50" t="str" cm="1">
        <f t="array" ref="P14:P17">_xlfn.SORTBY(P2:P5,T2:T5,-1,Q2:Q5,-1,S2:S5,-1)</f>
        <v>team 15</v>
      </c>
      <c r="Q14" s="65" cm="1">
        <f t="array" ref="Q14">_xlfn.XLOOKUP(P14,_xlfn.ANCHORARRAY(P2),S2:S5,"")</f>
        <v>0.63043478260869568</v>
      </c>
      <c r="R14">
        <f>4+Q14</f>
        <v>4.6304347826086953</v>
      </c>
      <c r="T14" s="51"/>
    </row>
    <row r="15" spans="1:20" x14ac:dyDescent="0.55000000000000004">
      <c r="A15" s="50" t="str">
        <v>team 2</v>
      </c>
      <c r="B15" s="65" cm="1">
        <f t="array" ref="B15">_xlfn.XLOOKUP(A15,_xlfn.ANCHORARRAY(A2),D2:D5,"")</f>
        <v>0.58823529411764708</v>
      </c>
      <c r="C15">
        <f>3+B15</f>
        <v>3.5882352941176472</v>
      </c>
      <c r="E15" s="51"/>
      <c r="F15" s="50" t="str">
        <v>team 7</v>
      </c>
      <c r="G15" s="65" cm="1">
        <f t="array" ref="G15">_xlfn.XLOOKUP(F15,_xlfn.ANCHORARRAY(F2),I2:I5,"")</f>
        <v>0.53191489361702127</v>
      </c>
      <c r="H15">
        <f>3+G15</f>
        <v>3.5319148936170213</v>
      </c>
      <c r="J15" s="51"/>
      <c r="K15" s="50" t="str">
        <v>team 9</v>
      </c>
      <c r="L15" s="65" cm="1">
        <f t="array" ref="L15">_xlfn.XLOOKUP(K15,_xlfn.ANCHORARRAY(K2),N2:N5,"")</f>
        <v>0.54455445544554459</v>
      </c>
      <c r="M15">
        <f>3+L15</f>
        <v>3.5445544554455446</v>
      </c>
      <c r="O15" s="51"/>
      <c r="P15" s="50" t="str">
        <v>team 14</v>
      </c>
      <c r="Q15" s="65" cm="1">
        <f t="array" ref="Q15">_xlfn.XLOOKUP(P15,_xlfn.ANCHORARRAY(P2),S2:S5,"")</f>
        <v>0.51327433628318586</v>
      </c>
      <c r="R15">
        <f>3+Q15</f>
        <v>3.5132743362831858</v>
      </c>
      <c r="T15" s="51"/>
    </row>
    <row r="16" spans="1:20" x14ac:dyDescent="0.55000000000000004">
      <c r="A16" s="50" t="str">
        <v>team 3</v>
      </c>
      <c r="B16" s="65" cm="1">
        <f t="array" ref="B16">_xlfn.XLOOKUP(A16,_xlfn.ANCHORARRAY(A2),D2:D5,"")</f>
        <v>0.41176470588235292</v>
      </c>
      <c r="C16">
        <f>2+B16</f>
        <v>2.4117647058823528</v>
      </c>
      <c r="E16" s="51"/>
      <c r="F16" s="50" t="str">
        <v>team 5</v>
      </c>
      <c r="G16" s="65" cm="1">
        <f t="array" ref="G16">_xlfn.XLOOKUP(F16,_xlfn.ANCHORARRAY(F2),I2:I5,"")</f>
        <v>0.45945945945945948</v>
      </c>
      <c r="H16">
        <f>2+G16</f>
        <v>2.4594594594594597</v>
      </c>
      <c r="J16" s="51"/>
      <c r="K16" s="50" t="str">
        <v>team 12</v>
      </c>
      <c r="L16" s="65" cm="1">
        <f t="array" ref="L16">_xlfn.XLOOKUP(K16,_xlfn.ANCHORARRAY(K2),N2:N5,"")</f>
        <v>0.48598130841121495</v>
      </c>
      <c r="M16">
        <f>2+L16</f>
        <v>2.485981308411215</v>
      </c>
      <c r="O16" s="51"/>
      <c r="P16" s="50" t="str">
        <v>team 16</v>
      </c>
      <c r="Q16" s="65" cm="1">
        <f t="array" ref="Q16">_xlfn.XLOOKUP(P16,_xlfn.ANCHORARRAY(P2),S2:S5,"")</f>
        <v>0.550561797752809</v>
      </c>
      <c r="R16">
        <f>2+Q16</f>
        <v>2.5505617977528088</v>
      </c>
      <c r="T16" s="51"/>
    </row>
    <row r="17" spans="1:20" ht="14.7" thickBot="1" x14ac:dyDescent="0.6">
      <c r="A17" s="52" t="str">
        <v>team 1</v>
      </c>
      <c r="B17" s="66" cm="1">
        <f t="array" ref="B17">_xlfn.XLOOKUP(A17,_xlfn.ANCHORARRAY(A2),D2:D5,"")</f>
        <v>0.28688524590163933</v>
      </c>
      <c r="C17" s="53">
        <f>1+B17</f>
        <v>1.2868852459016393</v>
      </c>
      <c r="D17" s="53"/>
      <c r="E17" s="54"/>
      <c r="F17" s="52" t="str">
        <v>team 6</v>
      </c>
      <c r="G17" s="66" cm="1">
        <f t="array" ref="G17">_xlfn.XLOOKUP(F17,_xlfn.ANCHORARRAY(F2),I2:I5,"")</f>
        <v>0.47826086956521741</v>
      </c>
      <c r="H17" s="53">
        <f>1+G17</f>
        <v>1.4782608695652173</v>
      </c>
      <c r="I17" s="53"/>
      <c r="J17" s="54"/>
      <c r="K17" s="52" t="str">
        <v>team 11</v>
      </c>
      <c r="L17" s="66" cm="1">
        <f t="array" ref="L17">_xlfn.XLOOKUP(K17,_xlfn.ANCHORARRAY(K2),N2:N5,"")</f>
        <v>0.4049586776859504</v>
      </c>
      <c r="M17" s="53">
        <f>1+L17</f>
        <v>1.4049586776859504</v>
      </c>
      <c r="N17" s="53"/>
      <c r="O17" s="54"/>
      <c r="P17" s="52" t="str">
        <v>team 13</v>
      </c>
      <c r="Q17" s="66" cm="1">
        <f t="array" ref="Q17">_xlfn.XLOOKUP(P17,_xlfn.ANCHORARRAY(P2),S2:S5,"")</f>
        <v>0.33333333333333331</v>
      </c>
      <c r="R17" s="53">
        <f>1+Q17</f>
        <v>1.3333333333333333</v>
      </c>
      <c r="S17" s="53"/>
      <c r="T17" s="54"/>
    </row>
    <row r="18" spans="1:20" x14ac:dyDescent="0.55000000000000004">
      <c r="A18" s="42" t="s">
        <v>16</v>
      </c>
      <c r="B18" s="43" t="s">
        <v>84</v>
      </c>
      <c r="C18" s="43" t="s">
        <v>85</v>
      </c>
      <c r="D18" s="43" t="s">
        <v>87</v>
      </c>
      <c r="E18" s="44" t="s">
        <v>86</v>
      </c>
      <c r="F18" s="42" t="s">
        <v>17</v>
      </c>
      <c r="G18" s="43" t="s">
        <v>84</v>
      </c>
      <c r="H18" s="43" t="s">
        <v>85</v>
      </c>
      <c r="I18" s="43" t="s">
        <v>87</v>
      </c>
      <c r="J18" s="44" t="s">
        <v>86</v>
      </c>
      <c r="K18" s="42" t="s">
        <v>18</v>
      </c>
      <c r="L18" s="43" t="s">
        <v>84</v>
      </c>
      <c r="M18" s="43" t="s">
        <v>85</v>
      </c>
      <c r="N18" s="43" t="s">
        <v>87</v>
      </c>
      <c r="O18" s="44" t="s">
        <v>86</v>
      </c>
      <c r="P18" s="42" t="s">
        <v>19</v>
      </c>
      <c r="Q18" s="43" t="s">
        <v>84</v>
      </c>
      <c r="R18" s="43" t="s">
        <v>85</v>
      </c>
      <c r="S18" s="43" t="s">
        <v>87</v>
      </c>
      <c r="T18" s="44" t="s">
        <v>86</v>
      </c>
    </row>
    <row r="19" spans="1:20" x14ac:dyDescent="0.55000000000000004">
      <c r="A19" s="45" t="str" cm="1">
        <f t="array" ref="A19:A22">Pools!$B$7:$B$10</f>
        <v>team 17</v>
      </c>
      <c r="B19" s="55">
        <f>B24+B25+B26</f>
        <v>61</v>
      </c>
      <c r="C19" s="55">
        <f>B24+B25+B26+C24+C25+C26</f>
        <v>86</v>
      </c>
      <c r="D19" s="56">
        <f>IFERROR(B19/C19,"")</f>
        <v>0.70930232558139539</v>
      </c>
      <c r="E19" s="57">
        <f>IF(LEN(D19)=0,"",COUNTIF($E$24:$E$29,A19))</f>
        <v>2</v>
      </c>
      <c r="F19" s="45" t="str" cm="1">
        <f t="array" ref="F19:F22">Pools!$D$7:$D$10</f>
        <v>team 21</v>
      </c>
      <c r="G19" s="55">
        <f>G24+G25+G26</f>
        <v>45</v>
      </c>
      <c r="H19" s="55">
        <f>G24+G25+G26+H24+H25+H26</f>
        <v>77</v>
      </c>
      <c r="I19" s="56">
        <f>IFERROR(G19/H19,"")</f>
        <v>0.58441558441558439</v>
      </c>
      <c r="J19" s="57">
        <f>IF(LEN(I19)=0,"",COUNTIF($J$24:$J$29,F19))</f>
        <v>2</v>
      </c>
      <c r="K19" s="45" t="str" cm="1">
        <f t="array" ref="K19:K22">Pools!$F$7:$F$10</f>
        <v>team 25</v>
      </c>
      <c r="L19" s="55">
        <f>L24+L25+L26</f>
        <v>19</v>
      </c>
      <c r="M19" s="55">
        <f>L24+L25+L26+M24+M25+M26</f>
        <v>71</v>
      </c>
      <c r="N19" s="56">
        <f>IFERROR(L19/M19,"")</f>
        <v>0.26760563380281688</v>
      </c>
      <c r="O19" s="57">
        <f>IF(LEN(N19)=0,"",COUNTIF($O$24:$O$29,K19))</f>
        <v>1</v>
      </c>
      <c r="P19" s="45" t="str" cm="1">
        <f t="array" ref="P19:P22">Pools!$H$7:$H$10</f>
        <v>team 29</v>
      </c>
      <c r="Q19" s="55">
        <f>Q24+Q25+Q26</f>
        <v>81</v>
      </c>
      <c r="R19" s="55">
        <f>Q24+Q25+Q26+R24+R25+R26</f>
        <v>133</v>
      </c>
      <c r="S19" s="56">
        <f>IFERROR(Q19/R19,"")</f>
        <v>0.60902255639097747</v>
      </c>
      <c r="T19" s="57">
        <f>IF(LEN(S19)=0,"",COUNTIF($T$24:$T$29,P19))</f>
        <v>3</v>
      </c>
    </row>
    <row r="20" spans="1:20" x14ac:dyDescent="0.55000000000000004">
      <c r="A20" s="46" t="str">
        <v>team 18</v>
      </c>
      <c r="B20" s="55">
        <f>B27+B28+C24</f>
        <v>62</v>
      </c>
      <c r="C20" s="55">
        <f>B24+C24+B27+C27+B28+C28</f>
        <v>89</v>
      </c>
      <c r="D20" s="56">
        <f>IFERROR(B20/C20,"")</f>
        <v>0.6966292134831461</v>
      </c>
      <c r="E20" s="58">
        <f>IF(LEN(D20)=0,"",COUNTIF($E$24:$E$29,A20))</f>
        <v>3</v>
      </c>
      <c r="F20" s="46" t="str">
        <v>team 22</v>
      </c>
      <c r="G20" s="55">
        <f>G27+G28+H24</f>
        <v>37</v>
      </c>
      <c r="H20" s="55">
        <f>G24+H24+G27+H27+G28+H28</f>
        <v>79</v>
      </c>
      <c r="I20" s="56">
        <f>IFERROR(G20/H20,"")</f>
        <v>0.46835443037974683</v>
      </c>
      <c r="J20" s="58">
        <f>IF(LEN(I20)=0,"",COUNTIF($J$24:$J$29,F20))</f>
        <v>1</v>
      </c>
      <c r="K20" s="46" t="str">
        <v>team 26</v>
      </c>
      <c r="L20" s="55">
        <f>L27+L28+M24</f>
        <v>54</v>
      </c>
      <c r="M20" s="55">
        <f>L24+M24+L27+M27+L28+M28</f>
        <v>93</v>
      </c>
      <c r="N20" s="56">
        <f>IFERROR(L20/M20,"")</f>
        <v>0.58064516129032262</v>
      </c>
      <c r="O20" s="58">
        <f>IF(LEN(N20)=0,"",COUNTIF($O$24:$O$29,K20))</f>
        <v>2</v>
      </c>
      <c r="P20" s="46" t="str">
        <v>team 30</v>
      </c>
      <c r="Q20" s="55">
        <f>Q27+Q28+R24</f>
        <v>47</v>
      </c>
      <c r="R20" s="55">
        <f>Q24+R24+Q27+R27+Q28+R28</f>
        <v>129</v>
      </c>
      <c r="S20" s="56">
        <f>IFERROR(Q20/R20,"")</f>
        <v>0.36434108527131781</v>
      </c>
      <c r="T20" s="58">
        <f>IF(LEN(S20)=0,"",COUNTIF($T$24:$T$29,P20))</f>
        <v>0</v>
      </c>
    </row>
    <row r="21" spans="1:20" x14ac:dyDescent="0.55000000000000004">
      <c r="A21" s="46" t="str">
        <v>team 19</v>
      </c>
      <c r="B21" s="55">
        <f>B29+C25+C27</f>
        <v>24</v>
      </c>
      <c r="C21" s="55">
        <f>B25+C25+B27+C27+B29+C29</f>
        <v>82</v>
      </c>
      <c r="D21" s="56">
        <f>IFERROR(B21/C21,"")</f>
        <v>0.29268292682926828</v>
      </c>
      <c r="E21" s="58">
        <f>IF(LEN(D21)=0,"",COUNTIF($E$24:$E$29,A21))</f>
        <v>1</v>
      </c>
      <c r="F21" s="46" t="str">
        <v>team 23</v>
      </c>
      <c r="G21" s="55">
        <f>G29+H25+H27</f>
        <v>52</v>
      </c>
      <c r="H21" s="55">
        <f>G25+H25+G27+H27+G29+H29</f>
        <v>125</v>
      </c>
      <c r="I21" s="56">
        <f>IFERROR(G21/H21,"")</f>
        <v>0.41599999999999998</v>
      </c>
      <c r="J21" s="58">
        <f>IF(LEN(I21)=0,"",COUNTIF($J$24:$J$29,F21))</f>
        <v>1</v>
      </c>
      <c r="K21" s="46" t="str">
        <v>team 27</v>
      </c>
      <c r="L21" s="55">
        <f>L29+M25+M27</f>
        <v>75</v>
      </c>
      <c r="M21" s="55">
        <f>L25+M25+L27+M27+L29+M29</f>
        <v>137</v>
      </c>
      <c r="N21" s="56">
        <f>IFERROR(L21/M21,"")</f>
        <v>0.54744525547445255</v>
      </c>
      <c r="O21" s="58">
        <f>IF(LEN(N21)=0,"",COUNTIF($O$24:$O$29,K21))</f>
        <v>1</v>
      </c>
      <c r="P21" s="46" t="str">
        <v>team 31</v>
      </c>
      <c r="Q21" s="55">
        <f>Q29+R25+R27</f>
        <v>38</v>
      </c>
      <c r="R21" s="55">
        <f>Q25+R25+Q27+R27+Q29+R29</f>
        <v>93</v>
      </c>
      <c r="S21" s="56">
        <f>IFERROR(Q21/R21,"")</f>
        <v>0.40860215053763443</v>
      </c>
      <c r="T21" s="58">
        <f>IF(LEN(S21)=0,"",COUNTIF($T$24:$T$29,P21))</f>
        <v>1</v>
      </c>
    </row>
    <row r="22" spans="1:20" x14ac:dyDescent="0.55000000000000004">
      <c r="A22" s="47" t="str">
        <v>team 20</v>
      </c>
      <c r="B22" s="55">
        <f>C26+C28+C29</f>
        <v>41</v>
      </c>
      <c r="C22" s="55">
        <f>B26+C26+B28+C28+B29+C29</f>
        <v>119</v>
      </c>
      <c r="D22" s="56">
        <f>IFERROR(B22/C22,"")</f>
        <v>0.34453781512605042</v>
      </c>
      <c r="E22" s="59">
        <f>IF(LEN(D22)=0,"",COUNTIF($E$24:$E$29,A22))</f>
        <v>0</v>
      </c>
      <c r="F22" s="47" t="str">
        <v>team 24</v>
      </c>
      <c r="G22" s="55">
        <f>H26+H28+H29</f>
        <v>50</v>
      </c>
      <c r="H22" s="55">
        <f>G26+H26+G28+H28+G29+H29</f>
        <v>87</v>
      </c>
      <c r="I22" s="56">
        <f>IFERROR(G22/H22,"")</f>
        <v>0.57471264367816088</v>
      </c>
      <c r="J22" s="59">
        <f>IF(LEN(I22)=0,"",COUNTIF($J$24:$J$29,F22))</f>
        <v>2</v>
      </c>
      <c r="K22" s="47" t="str">
        <v>team 28</v>
      </c>
      <c r="L22" s="55">
        <f>M26+M28+M29</f>
        <v>42</v>
      </c>
      <c r="M22" s="55">
        <f>L26+M26+L28+M28+L29+M29</f>
        <v>79</v>
      </c>
      <c r="N22" s="56">
        <f>IFERROR(L22/M22,"")</f>
        <v>0.53164556962025311</v>
      </c>
      <c r="O22" s="59">
        <f>IF(LEN(N22)=0,"",COUNTIF($O$24:$O$29,K22))</f>
        <v>2</v>
      </c>
      <c r="P22" s="47" t="str">
        <v>team 32</v>
      </c>
      <c r="Q22" s="55">
        <f>R26+R28+R29</f>
        <v>62</v>
      </c>
      <c r="R22" s="55">
        <f>Q26+R26+Q28+R28+Q29+R29</f>
        <v>101</v>
      </c>
      <c r="S22" s="56">
        <f>IFERROR(Q22/R22,"")</f>
        <v>0.61386138613861385</v>
      </c>
      <c r="T22" s="59">
        <f>IF(LEN(S22)=0,"",COUNTIF($T$24:$T$29,P22))</f>
        <v>2</v>
      </c>
    </row>
    <row r="23" spans="1:20" x14ac:dyDescent="0.55000000000000004">
      <c r="A23" s="48"/>
      <c r="B23" s="39"/>
      <c r="C23" s="39"/>
      <c r="D23" s="39"/>
      <c r="E23" s="49" t="s">
        <v>89</v>
      </c>
      <c r="F23" s="48"/>
      <c r="G23" s="39"/>
      <c r="H23" s="39"/>
      <c r="I23" s="39"/>
      <c r="J23" s="49" t="s">
        <v>89</v>
      </c>
      <c r="K23" s="48"/>
      <c r="L23" s="39"/>
      <c r="M23" s="39"/>
      <c r="N23" s="39"/>
      <c r="O23" s="49" t="s">
        <v>89</v>
      </c>
      <c r="P23" s="48"/>
      <c r="Q23" s="39"/>
      <c r="R23" s="39"/>
      <c r="S23" s="39"/>
      <c r="T23" s="49" t="s">
        <v>89</v>
      </c>
    </row>
    <row r="24" spans="1:20" x14ac:dyDescent="0.55000000000000004">
      <c r="A24" s="50" t="str">
        <f>A19</f>
        <v>team 17</v>
      </c>
      <c r="B24" s="55">
        <f>'Pool Scores'!M3</f>
        <v>2</v>
      </c>
      <c r="C24" s="64">
        <f>'Pool Scores'!N3</f>
        <v>22</v>
      </c>
      <c r="D24" t="str">
        <f>A20</f>
        <v>team 18</v>
      </c>
      <c r="E24" s="60" t="str">
        <f t="shared" ref="E24:E29" si="4">IF(OR(LEN(B24)=0,LEN(C24)=0),"",IF(B24&gt;C24,A24,D24))</f>
        <v>team 18</v>
      </c>
      <c r="F24" s="50" t="str">
        <f>F19</f>
        <v>team 21</v>
      </c>
      <c r="G24" s="55">
        <f>'Pool Scores'!M9</f>
        <v>15</v>
      </c>
      <c r="H24" s="64">
        <f>'Pool Scores'!N9</f>
        <v>6</v>
      </c>
      <c r="I24" t="str">
        <f>F20</f>
        <v>team 22</v>
      </c>
      <c r="J24" s="60" t="str">
        <f t="shared" ref="J24:J29" si="5">IF(OR(LEN(G24)=0,LEN(H24)=0),"",IF(G24&gt;H24,F24,I24))</f>
        <v>team 21</v>
      </c>
      <c r="K24" s="50" t="str">
        <f>K19</f>
        <v>team 25</v>
      </c>
      <c r="L24" s="55">
        <f>'Pool Scores'!M15</f>
        <v>9</v>
      </c>
      <c r="M24" s="64">
        <f>'Pool Scores'!N15</f>
        <v>21</v>
      </c>
      <c r="N24" t="str">
        <f>K20</f>
        <v>team 26</v>
      </c>
      <c r="O24" s="60" t="str">
        <f t="shared" ref="O24:O29" si="6">IF(OR(LEN(L24)=0,LEN(M24)=0),"",IF(L24&gt;M24,K24,N24))</f>
        <v>team 26</v>
      </c>
      <c r="P24" s="50" t="str">
        <f>P19</f>
        <v>team 29</v>
      </c>
      <c r="Q24" s="55">
        <f>'Pool Scores'!M21</f>
        <v>27</v>
      </c>
      <c r="R24" s="64">
        <f>'Pool Scores'!N21</f>
        <v>21</v>
      </c>
      <c r="S24" t="str">
        <f>P20</f>
        <v>team 30</v>
      </c>
      <c r="T24" s="60" t="str">
        <f t="shared" ref="T24:T29" si="7">IF(OR(LEN(Q24)=0,LEN(R24)=0),"",IF(Q24&gt;R24,P24,S24))</f>
        <v>team 29</v>
      </c>
    </row>
    <row r="25" spans="1:20" x14ac:dyDescent="0.55000000000000004">
      <c r="A25" s="50" t="str">
        <f>A19</f>
        <v>team 17</v>
      </c>
      <c r="B25" s="55">
        <f>'Pool Scores'!M4</f>
        <v>29</v>
      </c>
      <c r="C25" s="64">
        <f>'Pool Scores'!N4</f>
        <v>2</v>
      </c>
      <c r="D25" t="str">
        <f>A21</f>
        <v>team 19</v>
      </c>
      <c r="E25" s="61" t="str">
        <f t="shared" si="4"/>
        <v>team 17</v>
      </c>
      <c r="F25" s="50" t="str">
        <f>F19</f>
        <v>team 21</v>
      </c>
      <c r="G25" s="55">
        <f>'Pool Scores'!M10</f>
        <v>19</v>
      </c>
      <c r="H25" s="64">
        <f>'Pool Scores'!N10</f>
        <v>22</v>
      </c>
      <c r="I25" t="str">
        <f>F21</f>
        <v>team 23</v>
      </c>
      <c r="J25" s="61" t="str">
        <f t="shared" si="5"/>
        <v>team 23</v>
      </c>
      <c r="K25" s="50" t="str">
        <f>K19</f>
        <v>team 25</v>
      </c>
      <c r="L25" s="55">
        <f>'Pool Scores'!M16</f>
        <v>6</v>
      </c>
      <c r="M25" s="64">
        <f>'Pool Scores'!N16</f>
        <v>29</v>
      </c>
      <c r="N25" t="str">
        <f>K21</f>
        <v>team 27</v>
      </c>
      <c r="O25" s="61" t="str">
        <f t="shared" si="6"/>
        <v>team 27</v>
      </c>
      <c r="P25" s="50" t="str">
        <f>P19</f>
        <v>team 29</v>
      </c>
      <c r="Q25" s="55">
        <f>'Pool Scores'!M22</f>
        <v>30</v>
      </c>
      <c r="R25" s="64">
        <f>'Pool Scores'!N22</f>
        <v>9</v>
      </c>
      <c r="S25" t="str">
        <f>P21</f>
        <v>team 31</v>
      </c>
      <c r="T25" s="61" t="str">
        <f t="shared" si="7"/>
        <v>team 29</v>
      </c>
    </row>
    <row r="26" spans="1:20" x14ac:dyDescent="0.55000000000000004">
      <c r="A26" s="50" t="str">
        <f>A19</f>
        <v>team 17</v>
      </c>
      <c r="B26" s="55">
        <f>'Pool Scores'!M5</f>
        <v>30</v>
      </c>
      <c r="C26" s="64">
        <f>'Pool Scores'!N5</f>
        <v>1</v>
      </c>
      <c r="D26" t="str">
        <f>A22</f>
        <v>team 20</v>
      </c>
      <c r="E26" s="61" t="str">
        <f t="shared" si="4"/>
        <v>team 17</v>
      </c>
      <c r="F26" s="50" t="str">
        <f>F19</f>
        <v>team 21</v>
      </c>
      <c r="G26" s="55">
        <f>'Pool Scores'!M11</f>
        <v>11</v>
      </c>
      <c r="H26" s="64">
        <f>'Pool Scores'!N11</f>
        <v>4</v>
      </c>
      <c r="I26" t="str">
        <f>F22</f>
        <v>team 24</v>
      </c>
      <c r="J26" s="61" t="str">
        <f t="shared" si="5"/>
        <v>team 21</v>
      </c>
      <c r="K26" s="50" t="str">
        <f>K19</f>
        <v>team 25</v>
      </c>
      <c r="L26" s="55">
        <f>'Pool Scores'!M17</f>
        <v>4</v>
      </c>
      <c r="M26" s="64">
        <f>'Pool Scores'!N17</f>
        <v>2</v>
      </c>
      <c r="N26" t="str">
        <f>K22</f>
        <v>team 28</v>
      </c>
      <c r="O26" s="61" t="str">
        <f t="shared" si="6"/>
        <v>team 25</v>
      </c>
      <c r="P26" s="50" t="str">
        <f>P19</f>
        <v>team 29</v>
      </c>
      <c r="Q26" s="55">
        <f>'Pool Scores'!M23</f>
        <v>24</v>
      </c>
      <c r="R26" s="64">
        <f>'Pool Scores'!N23</f>
        <v>22</v>
      </c>
      <c r="S26" t="str">
        <f>P22</f>
        <v>team 32</v>
      </c>
      <c r="T26" s="61" t="str">
        <f t="shared" si="7"/>
        <v>team 29</v>
      </c>
    </row>
    <row r="27" spans="1:20" x14ac:dyDescent="0.55000000000000004">
      <c r="A27" s="50" t="str">
        <f>A20</f>
        <v>team 18</v>
      </c>
      <c r="B27" s="55">
        <f>'Pool Scores'!O4</f>
        <v>13</v>
      </c>
      <c r="C27" s="64">
        <f>'Pool Scores'!P4</f>
        <v>1</v>
      </c>
      <c r="D27" t="str">
        <f>A21</f>
        <v>team 19</v>
      </c>
      <c r="E27" s="61" t="str">
        <f t="shared" si="4"/>
        <v>team 18</v>
      </c>
      <c r="F27" s="50" t="str">
        <f>F20</f>
        <v>team 22</v>
      </c>
      <c r="G27" s="55">
        <f>'Pool Scores'!O10</f>
        <v>26</v>
      </c>
      <c r="H27" s="64">
        <f>'Pool Scores'!P10</f>
        <v>9</v>
      </c>
      <c r="I27" t="str">
        <f>F21</f>
        <v>team 23</v>
      </c>
      <c r="J27" s="61" t="str">
        <f t="shared" si="5"/>
        <v>team 22</v>
      </c>
      <c r="K27" s="50" t="str">
        <f>K20</f>
        <v>team 26</v>
      </c>
      <c r="L27" s="55">
        <f>'Pool Scores'!O16</f>
        <v>28</v>
      </c>
      <c r="M27" s="64">
        <f>'Pool Scores'!P16</f>
        <v>18</v>
      </c>
      <c r="N27" t="str">
        <f>K21</f>
        <v>team 27</v>
      </c>
      <c r="O27" s="61" t="str">
        <f t="shared" si="6"/>
        <v>team 26</v>
      </c>
      <c r="P27" s="50" t="str">
        <f>P20</f>
        <v>team 30</v>
      </c>
      <c r="Q27" s="55">
        <f>'Pool Scores'!O22</f>
        <v>15</v>
      </c>
      <c r="R27" s="64">
        <f>'Pool Scores'!P22</f>
        <v>25</v>
      </c>
      <c r="S27" t="str">
        <f>P21</f>
        <v>team 31</v>
      </c>
      <c r="T27" s="61" t="str">
        <f t="shared" si="7"/>
        <v>team 31</v>
      </c>
    </row>
    <row r="28" spans="1:20" x14ac:dyDescent="0.55000000000000004">
      <c r="A28" s="50" t="str">
        <f>A20</f>
        <v>team 18</v>
      </c>
      <c r="B28" s="55">
        <f>'Pool Scores'!O5</f>
        <v>27</v>
      </c>
      <c r="C28" s="64">
        <f>'Pool Scores'!P5</f>
        <v>24</v>
      </c>
      <c r="D28" t="str">
        <f>A22</f>
        <v>team 20</v>
      </c>
      <c r="E28" s="61" t="str">
        <f t="shared" si="4"/>
        <v>team 18</v>
      </c>
      <c r="F28" s="50" t="str">
        <f>F20</f>
        <v>team 22</v>
      </c>
      <c r="G28" s="55">
        <f>'Pool Scores'!O11</f>
        <v>5</v>
      </c>
      <c r="H28" s="64">
        <f>'Pool Scores'!P11</f>
        <v>18</v>
      </c>
      <c r="I28" t="str">
        <f>F22</f>
        <v>team 24</v>
      </c>
      <c r="J28" s="61" t="str">
        <f t="shared" si="5"/>
        <v>team 24</v>
      </c>
      <c r="K28" s="50" t="str">
        <f>K20</f>
        <v>team 26</v>
      </c>
      <c r="L28" s="55">
        <f>'Pool Scores'!O17</f>
        <v>5</v>
      </c>
      <c r="M28" s="64">
        <f>'Pool Scores'!P17</f>
        <v>12</v>
      </c>
      <c r="N28" t="str">
        <f>K22</f>
        <v>team 28</v>
      </c>
      <c r="O28" s="61" t="str">
        <f t="shared" si="6"/>
        <v>team 28</v>
      </c>
      <c r="P28" s="50" t="str">
        <f>P20</f>
        <v>team 30</v>
      </c>
      <c r="Q28" s="55">
        <f>'Pool Scores'!O23</f>
        <v>11</v>
      </c>
      <c r="R28" s="64">
        <f>'Pool Scores'!P23</f>
        <v>30</v>
      </c>
      <c r="S28" t="str">
        <f>P22</f>
        <v>team 32</v>
      </c>
      <c r="T28" s="61" t="str">
        <f t="shared" si="7"/>
        <v>team 32</v>
      </c>
    </row>
    <row r="29" spans="1:20" x14ac:dyDescent="0.55000000000000004">
      <c r="A29" s="50" t="str">
        <f>A21</f>
        <v>team 19</v>
      </c>
      <c r="B29" s="55">
        <f>'Pool Scores'!Q5</f>
        <v>21</v>
      </c>
      <c r="C29" s="64">
        <f>'Pool Scores'!R5</f>
        <v>16</v>
      </c>
      <c r="D29" t="str">
        <f>A22</f>
        <v>team 20</v>
      </c>
      <c r="E29" s="62" t="str">
        <f t="shared" si="4"/>
        <v>team 19</v>
      </c>
      <c r="F29" s="50" t="str">
        <f>F21</f>
        <v>team 23</v>
      </c>
      <c r="G29" s="55">
        <f>'Pool Scores'!Q11</f>
        <v>21</v>
      </c>
      <c r="H29" s="64">
        <f>'Pool Scores'!R11</f>
        <v>28</v>
      </c>
      <c r="I29" t="str">
        <f>F22</f>
        <v>team 24</v>
      </c>
      <c r="J29" s="62" t="str">
        <f t="shared" si="5"/>
        <v>team 24</v>
      </c>
      <c r="K29" s="50" t="str">
        <f>K21</f>
        <v>team 27</v>
      </c>
      <c r="L29" s="55">
        <f>'Pool Scores'!Q17</f>
        <v>28</v>
      </c>
      <c r="M29" s="64">
        <f>'Pool Scores'!R17</f>
        <v>28</v>
      </c>
      <c r="N29" t="str">
        <f>K22</f>
        <v>team 28</v>
      </c>
      <c r="O29" s="62" t="str">
        <f t="shared" si="6"/>
        <v>team 28</v>
      </c>
      <c r="P29" s="50" t="str">
        <f>P21</f>
        <v>team 31</v>
      </c>
      <c r="Q29" s="55">
        <f>'Pool Scores'!Q23</f>
        <v>4</v>
      </c>
      <c r="R29" s="64">
        <f>'Pool Scores'!R23</f>
        <v>10</v>
      </c>
      <c r="S29" t="str">
        <f>P22</f>
        <v>team 32</v>
      </c>
      <c r="T29" s="62" t="str">
        <f t="shared" si="7"/>
        <v>team 32</v>
      </c>
    </row>
    <row r="30" spans="1:20" x14ac:dyDescent="0.55000000000000004">
      <c r="A30" s="48" t="s">
        <v>88</v>
      </c>
      <c r="B30" s="39" t="s">
        <v>90</v>
      </c>
      <c r="C30" s="39" t="s">
        <v>103</v>
      </c>
      <c r="D30" s="39"/>
      <c r="E30" s="49"/>
      <c r="F30" s="48" t="s">
        <v>88</v>
      </c>
      <c r="G30" s="39" t="s">
        <v>90</v>
      </c>
      <c r="H30" s="39" t="s">
        <v>103</v>
      </c>
      <c r="I30" s="39"/>
      <c r="J30" s="49"/>
      <c r="K30" s="48" t="s">
        <v>88</v>
      </c>
      <c r="L30" s="39" t="s">
        <v>90</v>
      </c>
      <c r="M30" s="39" t="s">
        <v>103</v>
      </c>
      <c r="N30" s="39"/>
      <c r="O30" s="49"/>
      <c r="P30" s="48" t="s">
        <v>88</v>
      </c>
      <c r="Q30" s="39" t="s">
        <v>90</v>
      </c>
      <c r="R30" s="39" t="s">
        <v>103</v>
      </c>
      <c r="S30" s="39"/>
      <c r="T30" s="49"/>
    </row>
    <row r="31" spans="1:20" x14ac:dyDescent="0.55000000000000004">
      <c r="A31" s="50" t="str" cm="1">
        <f t="array" ref="A31:A34">_xlfn.SORTBY(A19:A22,E19:E22,-1,B19:B22,-1,D19:D22,-1)</f>
        <v>team 18</v>
      </c>
      <c r="B31" s="65" cm="1">
        <f t="array" ref="B31">_xlfn.XLOOKUP(A31,_xlfn.ANCHORARRAY(A19),D19:D22,"")</f>
        <v>0.6966292134831461</v>
      </c>
      <c r="C31">
        <f>4+B31</f>
        <v>4.6966292134831464</v>
      </c>
      <c r="E31" s="51"/>
      <c r="F31" s="50" t="str" cm="1">
        <f t="array" ref="F31:F34">_xlfn.SORTBY(F19:F22,J19:J22,-1,G19:G22,-1,I19:I22,-1)</f>
        <v>team 24</v>
      </c>
      <c r="G31" s="65" cm="1">
        <f t="array" ref="G31">_xlfn.XLOOKUP(F31,_xlfn.ANCHORARRAY(F19),I19:I22,"")</f>
        <v>0.57471264367816088</v>
      </c>
      <c r="H31">
        <f>4+G31</f>
        <v>4.5747126436781613</v>
      </c>
      <c r="J31" s="51"/>
      <c r="K31" s="50" t="str" cm="1">
        <f t="array" ref="K31:K34">_xlfn.SORTBY(K19:K22,O19:O22,-1,L19:L22,-1,N19:N22,-1)</f>
        <v>team 26</v>
      </c>
      <c r="L31" s="65" cm="1">
        <f t="array" ref="L31">_xlfn.XLOOKUP(K31,_xlfn.ANCHORARRAY(K19),N19:N22,"")</f>
        <v>0.58064516129032262</v>
      </c>
      <c r="M31">
        <f>4+L31</f>
        <v>4.580645161290323</v>
      </c>
      <c r="O31" s="51"/>
      <c r="P31" s="50" t="str" cm="1">
        <f t="array" ref="P31:P34">_xlfn.SORTBY(P19:P22,T19:T22,-1,Q19:Q22,-1,S19:S22,-1)</f>
        <v>team 29</v>
      </c>
      <c r="Q31" s="65" cm="1">
        <f t="array" ref="Q31">_xlfn.XLOOKUP(P31,_xlfn.ANCHORARRAY(P19),S19:S22,"")</f>
        <v>0.60902255639097747</v>
      </c>
      <c r="R31">
        <f>4+Q31</f>
        <v>4.6090225563909772</v>
      </c>
      <c r="T31" s="51"/>
    </row>
    <row r="32" spans="1:20" x14ac:dyDescent="0.55000000000000004">
      <c r="A32" s="50" t="str">
        <v>team 17</v>
      </c>
      <c r="B32" s="65" cm="1">
        <f t="array" ref="B32">_xlfn.XLOOKUP(A32,_xlfn.ANCHORARRAY(A19),D19:D22,"")</f>
        <v>0.70930232558139539</v>
      </c>
      <c r="C32">
        <f>3+B32</f>
        <v>3.7093023255813953</v>
      </c>
      <c r="E32" s="51"/>
      <c r="F32" s="50" t="str">
        <v>team 21</v>
      </c>
      <c r="G32" s="65" cm="1">
        <f t="array" ref="G32">_xlfn.XLOOKUP(F32,_xlfn.ANCHORARRAY(F19),I19:I22,"")</f>
        <v>0.58441558441558439</v>
      </c>
      <c r="H32">
        <f>3+G32</f>
        <v>3.5844155844155843</v>
      </c>
      <c r="J32" s="51"/>
      <c r="K32" s="50" t="str">
        <v>team 28</v>
      </c>
      <c r="L32" s="65" cm="1">
        <f t="array" ref="L32">_xlfn.XLOOKUP(K32,_xlfn.ANCHORARRAY(K19),N19:N22,"")</f>
        <v>0.53164556962025311</v>
      </c>
      <c r="M32">
        <f>3+L32</f>
        <v>3.5316455696202533</v>
      </c>
      <c r="O32" s="51"/>
      <c r="P32" s="50" t="str">
        <v>team 32</v>
      </c>
      <c r="Q32" s="65" cm="1">
        <f t="array" ref="Q32">_xlfn.XLOOKUP(P32,_xlfn.ANCHORARRAY(P19),S19:S22,"")</f>
        <v>0.61386138613861385</v>
      </c>
      <c r="R32">
        <f>3+Q32</f>
        <v>3.613861386138614</v>
      </c>
      <c r="T32" s="51"/>
    </row>
    <row r="33" spans="1:20" x14ac:dyDescent="0.55000000000000004">
      <c r="A33" s="50" t="str">
        <v>team 19</v>
      </c>
      <c r="B33" s="65" cm="1">
        <f t="array" ref="B33">_xlfn.XLOOKUP(A33,_xlfn.ANCHORARRAY(A19),D19:D22,"")</f>
        <v>0.29268292682926828</v>
      </c>
      <c r="C33">
        <f>2+B33</f>
        <v>2.2926829268292681</v>
      </c>
      <c r="E33" s="51"/>
      <c r="F33" s="50" t="str">
        <v>team 23</v>
      </c>
      <c r="G33" s="65" cm="1">
        <f t="array" ref="G33">_xlfn.XLOOKUP(F33,_xlfn.ANCHORARRAY(F19),I19:I22,"")</f>
        <v>0.41599999999999998</v>
      </c>
      <c r="H33">
        <f>2+G33</f>
        <v>2.4159999999999999</v>
      </c>
      <c r="J33" s="51"/>
      <c r="K33" s="50" t="str">
        <v>team 27</v>
      </c>
      <c r="L33" s="65" cm="1">
        <f t="array" ref="L33">_xlfn.XLOOKUP(K33,_xlfn.ANCHORARRAY(K19),N19:N22,"")</f>
        <v>0.54744525547445255</v>
      </c>
      <c r="M33">
        <f>2+L33</f>
        <v>2.5474452554744524</v>
      </c>
      <c r="O33" s="51"/>
      <c r="P33" s="50" t="str">
        <v>team 31</v>
      </c>
      <c r="Q33" s="65" cm="1">
        <f t="array" ref="Q33">_xlfn.XLOOKUP(P33,_xlfn.ANCHORARRAY(P19),S19:S22,"")</f>
        <v>0.40860215053763443</v>
      </c>
      <c r="R33">
        <f>2+Q33</f>
        <v>2.4086021505376345</v>
      </c>
      <c r="T33" s="51"/>
    </row>
    <row r="34" spans="1:20" ht="14.7" thickBot="1" x14ac:dyDescent="0.6">
      <c r="A34" s="52" t="str">
        <v>team 20</v>
      </c>
      <c r="B34" s="66" cm="1">
        <f t="array" ref="B34">_xlfn.XLOOKUP(A34,_xlfn.ANCHORARRAY(A19),D19:D22,"")</f>
        <v>0.34453781512605042</v>
      </c>
      <c r="C34" s="53">
        <f>1+B34</f>
        <v>1.3445378151260505</v>
      </c>
      <c r="D34" s="53"/>
      <c r="E34" s="54"/>
      <c r="F34" s="52" t="str">
        <v>team 22</v>
      </c>
      <c r="G34" s="66" cm="1">
        <f t="array" ref="G34">_xlfn.XLOOKUP(F34,_xlfn.ANCHORARRAY(F19),I19:I22,"")</f>
        <v>0.46835443037974683</v>
      </c>
      <c r="H34" s="53">
        <f>1+G34</f>
        <v>1.4683544303797469</v>
      </c>
      <c r="I34" s="53"/>
      <c r="J34" s="54"/>
      <c r="K34" s="52" t="str">
        <v>team 25</v>
      </c>
      <c r="L34" s="66" cm="1">
        <f t="array" ref="L34">_xlfn.XLOOKUP(K34,_xlfn.ANCHORARRAY(K19),N19:N22,"")</f>
        <v>0.26760563380281688</v>
      </c>
      <c r="M34" s="53">
        <f>1+L34</f>
        <v>1.267605633802817</v>
      </c>
      <c r="N34" s="53"/>
      <c r="O34" s="54"/>
      <c r="P34" s="52" t="str">
        <v>team 30</v>
      </c>
      <c r="Q34" s="66" cm="1">
        <f t="array" ref="Q34">_xlfn.XLOOKUP(P34,_xlfn.ANCHORARRAY(P19),S19:S22,"")</f>
        <v>0.36434108527131781</v>
      </c>
      <c r="R34" s="53">
        <f>1+Q34</f>
        <v>1.3643410852713178</v>
      </c>
      <c r="S34" s="53"/>
      <c r="T34" s="54"/>
    </row>
    <row r="37" spans="1:20" x14ac:dyDescent="0.55000000000000004">
      <c r="A37" s="227" t="s">
        <v>104</v>
      </c>
      <c r="B37" s="228"/>
      <c r="C37" s="229"/>
      <c r="E37" s="230" t="s">
        <v>105</v>
      </c>
      <c r="F37" s="231"/>
      <c r="H37" s="232" t="s">
        <v>106</v>
      </c>
      <c r="I37" s="233"/>
      <c r="J37" s="233"/>
      <c r="K37" s="234"/>
    </row>
    <row r="38" spans="1:20" x14ac:dyDescent="0.55000000000000004">
      <c r="A38" s="89" t="s">
        <v>91</v>
      </c>
      <c r="B38" s="89" t="s">
        <v>90</v>
      </c>
      <c r="C38" s="89" t="s">
        <v>115</v>
      </c>
      <c r="E38" s="88" t="s">
        <v>91</v>
      </c>
      <c r="F38" s="88" t="s">
        <v>115</v>
      </c>
      <c r="H38" s="87" t="s">
        <v>107</v>
      </c>
      <c r="I38" s="87" t="s">
        <v>110</v>
      </c>
      <c r="J38" s="87" t="s">
        <v>108</v>
      </c>
      <c r="K38" s="87" t="s">
        <v>109</v>
      </c>
    </row>
    <row r="39" spans="1:20" x14ac:dyDescent="0.55000000000000004">
      <c r="A39" s="40" t="str" cm="1">
        <f t="array" ref="A39:C42">IFERROR(A14:C17,"")</f>
        <v>team 4</v>
      </c>
      <c r="B39" s="40">
        <v>0.7589285714285714</v>
      </c>
      <c r="C39" s="40">
        <v>4.7589285714285712</v>
      </c>
      <c r="E39" s="40" t="str" cm="1">
        <f t="array" ref="E39:E70">_xlfn.SORTBY(A39:A70,C39:C70,-1)</f>
        <v>team 4</v>
      </c>
      <c r="F39" s="40">
        <f t="shared" ref="F39:F70" si="8">_xlfn.XLOOKUP(E39,$A$39:$A$70,$C$39:$C$70,"")</f>
        <v>4.7589285714285712</v>
      </c>
      <c r="H39" s="40" t="str" cm="1">
        <f t="array" aca="1" ref="H39:H54" ca="1">IFERROR(withbyes(OFFSET(_xlfn.ANCHORARRAY($E$39),0,0,'TOURNAMENT DETAILS'!B5)),"")</f>
        <v>team 4</v>
      </c>
      <c r="I39" s="40" t="str" cm="1">
        <f t="array" aca="1" ref="I39:I54" ca="1">IFERROR(withbyes(OFFSET(_xlfn.ANCHORARRAY($E$39),'TOURNAMENT DETAILS'!B5,0,'TOURNAMENT DETAILS'!B6)),"")</f>
        <v>team 21</v>
      </c>
      <c r="J39" s="40" t="str" cm="1">
        <f t="array" aca="1" ref="J39:J54" ca="1">IFERROR(withbyes(OFFSET(_xlfn.ANCHORARRAY($E$39),'TOURNAMENT DETAILS'!B5+'TOURNAMENT DETAILS'!B6,0,'TOURNAMENT DETAILS'!B7)),"")</f>
        <v>team 31</v>
      </c>
      <c r="K39" s="40" t="str" cm="1">
        <f t="array" aca="1" ref="K39" ca="1">IFERROR(withbyes(OFFSET(_xlfn.ANCHORARRAY($E$39),'TOURNAMENT DETAILS'!B5+'TOURNAMENT DETAILS'!B6+'TOURNAMENT DETAILS'!B7,0,'TOURNAMENT DETAILS'!B8)),"")</f>
        <v/>
      </c>
    </row>
    <row r="40" spans="1:20" x14ac:dyDescent="0.55000000000000004">
      <c r="A40" s="40" t="str">
        <v>team 2</v>
      </c>
      <c r="B40" s="40">
        <v>0.58823529411764708</v>
      </c>
      <c r="C40" s="40">
        <v>3.5882352941176472</v>
      </c>
      <c r="E40" s="40" t="str">
        <v>team 18</v>
      </c>
      <c r="F40" s="40">
        <f t="shared" si="8"/>
        <v>4.6966292134831464</v>
      </c>
      <c r="H40" s="40" t="str">
        <f ca="1"/>
        <v>team 18</v>
      </c>
      <c r="I40" s="40" t="str">
        <f ca="1"/>
        <v>team 9</v>
      </c>
      <c r="J40" s="40" t="str">
        <f ca="1"/>
        <v>team 19</v>
      </c>
      <c r="K40" s="40"/>
    </row>
    <row r="41" spans="1:20" x14ac:dyDescent="0.55000000000000004">
      <c r="A41" s="40" t="str">
        <v>team 3</v>
      </c>
      <c r="B41" s="40">
        <v>0.41176470588235292</v>
      </c>
      <c r="C41" s="40">
        <v>2.4117647058823528</v>
      </c>
      <c r="E41" s="40" t="str">
        <v>team 15</v>
      </c>
      <c r="F41" s="40">
        <f t="shared" si="8"/>
        <v>4.6304347826086953</v>
      </c>
      <c r="H41" t="str">
        <f ca="1"/>
        <v>team 15</v>
      </c>
      <c r="I41" s="40" t="str">
        <f ca="1"/>
        <v>team 7</v>
      </c>
      <c r="J41" s="40" t="str">
        <f ca="1"/>
        <v>team 6</v>
      </c>
      <c r="K41" s="40"/>
    </row>
    <row r="42" spans="1:20" x14ac:dyDescent="0.55000000000000004">
      <c r="A42" s="40" t="str">
        <v>team 1</v>
      </c>
      <c r="B42" s="40">
        <v>0.28688524590163933</v>
      </c>
      <c r="C42" s="40">
        <v>1.2868852459016393</v>
      </c>
      <c r="E42" s="40" t="str">
        <v>team 29</v>
      </c>
      <c r="F42" s="40">
        <f t="shared" si="8"/>
        <v>4.6090225563909772</v>
      </c>
      <c r="H42" s="40" t="str">
        <f ca="1"/>
        <v>team 29</v>
      </c>
      <c r="I42" s="40" t="str">
        <f ca="1"/>
        <v>team 28</v>
      </c>
      <c r="J42" s="40" t="str">
        <f ca="1"/>
        <v>team 22</v>
      </c>
      <c r="K42" s="40"/>
    </row>
    <row r="43" spans="1:20" x14ac:dyDescent="0.55000000000000004">
      <c r="A43" s="40" t="str" cm="1">
        <f t="array" ref="A43:C46">IFERROR(F14:H17,"")</f>
        <v>team 8</v>
      </c>
      <c r="B43" s="40">
        <v>0.5376344086021505</v>
      </c>
      <c r="C43" s="40">
        <v>4.5376344086021501</v>
      </c>
      <c r="E43" s="40" t="str">
        <v>team 10</v>
      </c>
      <c r="F43" s="40">
        <f t="shared" si="8"/>
        <v>4.5876288659793811</v>
      </c>
      <c r="H43" s="40" t="str">
        <f ca="1"/>
        <v>team 10</v>
      </c>
      <c r="I43" s="40" t="str">
        <f ca="1"/>
        <v>team 14</v>
      </c>
      <c r="J43" s="40" t="str">
        <f ca="1"/>
        <v>team 11</v>
      </c>
      <c r="K43" s="40"/>
    </row>
    <row r="44" spans="1:20" x14ac:dyDescent="0.55000000000000004">
      <c r="A44" s="40" t="str">
        <v>team 7</v>
      </c>
      <c r="B44" s="40">
        <v>0.53191489361702127</v>
      </c>
      <c r="C44" s="40">
        <v>3.5319148936170213</v>
      </c>
      <c r="E44" s="40" t="str">
        <v>team 26</v>
      </c>
      <c r="F44" s="40">
        <f t="shared" si="8"/>
        <v>4.580645161290323</v>
      </c>
      <c r="H44" s="40" t="str">
        <f ca="1"/>
        <v>team 26</v>
      </c>
      <c r="I44" s="40" t="str">
        <f ca="1"/>
        <v>team 16</v>
      </c>
      <c r="J44" s="40" t="str">
        <f ca="1"/>
        <v>team 30</v>
      </c>
      <c r="K44" s="40"/>
    </row>
    <row r="45" spans="1:20" x14ac:dyDescent="0.55000000000000004">
      <c r="A45" s="40" t="str">
        <v>team 5</v>
      </c>
      <c r="B45" s="40">
        <v>0.45945945945945948</v>
      </c>
      <c r="C45" s="40">
        <v>2.4594594594594597</v>
      </c>
      <c r="E45" s="40" t="str">
        <v>team 24</v>
      </c>
      <c r="F45" s="40">
        <f t="shared" si="8"/>
        <v>4.5747126436781613</v>
      </c>
      <c r="H45" s="40" t="str">
        <f ca="1"/>
        <v>team 24</v>
      </c>
      <c r="I45" s="40" t="str">
        <f ca="1"/>
        <v>team 27</v>
      </c>
      <c r="J45" s="40" t="str">
        <f ca="1"/>
        <v>team 20</v>
      </c>
      <c r="K45" s="40"/>
    </row>
    <row r="46" spans="1:20" x14ac:dyDescent="0.55000000000000004">
      <c r="A46" s="40" t="str">
        <v>team 6</v>
      </c>
      <c r="B46" s="40">
        <v>0.47826086956521741</v>
      </c>
      <c r="C46" s="40">
        <v>1.4782608695652173</v>
      </c>
      <c r="E46" s="40" t="str">
        <v>team 8</v>
      </c>
      <c r="F46" s="40">
        <f t="shared" si="8"/>
        <v>4.5376344086021501</v>
      </c>
      <c r="H46" s="40" t="str">
        <f ca="1"/>
        <v>team 8</v>
      </c>
      <c r="I46" s="40" t="str">
        <f ca="1"/>
        <v>team 12</v>
      </c>
      <c r="J46" s="40" t="str">
        <f ca="1"/>
        <v>team 13</v>
      </c>
      <c r="K46" s="40"/>
    </row>
    <row r="47" spans="1:20" x14ac:dyDescent="0.55000000000000004">
      <c r="A47" s="40" t="str" cm="1">
        <f t="array" ref="A47:C50">IFERROR(K14:M17,"")</f>
        <v>team 10</v>
      </c>
      <c r="B47" s="40">
        <v>0.58762886597938147</v>
      </c>
      <c r="C47" s="40">
        <v>4.5876288659793811</v>
      </c>
      <c r="E47" s="40" t="str">
        <v>team 17</v>
      </c>
      <c r="F47" s="40">
        <f t="shared" si="8"/>
        <v>3.7093023255813953</v>
      </c>
      <c r="H47" s="40" t="str">
        <f ca="1"/>
        <v>team 17</v>
      </c>
      <c r="I47" s="40" t="str">
        <f ca="1"/>
        <v>team 5</v>
      </c>
      <c r="J47" s="40" t="str">
        <f ca="1"/>
        <v>team 1</v>
      </c>
      <c r="K47" s="40"/>
    </row>
    <row r="48" spans="1:20" x14ac:dyDescent="0.55000000000000004">
      <c r="A48" s="40" t="str">
        <v>team 9</v>
      </c>
      <c r="B48" s="40">
        <v>0.54455445544554459</v>
      </c>
      <c r="C48" s="40">
        <v>3.5445544554455446</v>
      </c>
      <c r="E48" s="40" t="str">
        <v>team 32</v>
      </c>
      <c r="F48" s="40">
        <f t="shared" si="8"/>
        <v>3.613861386138614</v>
      </c>
      <c r="H48" s="40" t="str">
        <f ca="1"/>
        <v>team 32</v>
      </c>
      <c r="I48" s="40" t="str">
        <f ca="1"/>
        <v>team 23</v>
      </c>
      <c r="J48" s="40" t="str">
        <f ca="1"/>
        <v>team 25</v>
      </c>
      <c r="K48" s="40"/>
    </row>
    <row r="49" spans="1:11" x14ac:dyDescent="0.55000000000000004">
      <c r="A49" s="40" t="str">
        <v>team 12</v>
      </c>
      <c r="B49" s="40">
        <v>0.48598130841121495</v>
      </c>
      <c r="C49" s="40">
        <v>2.485981308411215</v>
      </c>
      <c r="E49" s="40" t="str">
        <v>team 2</v>
      </c>
      <c r="F49" s="40">
        <f t="shared" si="8"/>
        <v>3.5882352941176472</v>
      </c>
      <c r="H49" s="40" t="str">
        <f ca="1"/>
        <v>team 2</v>
      </c>
      <c r="I49" s="40" t="str">
        <f ca="1"/>
        <v>team 3</v>
      </c>
      <c r="J49" s="40" t="str">
        <f ca="1"/>
        <v>bye</v>
      </c>
      <c r="K49" s="40"/>
    </row>
    <row r="50" spans="1:11" x14ac:dyDescent="0.55000000000000004">
      <c r="A50" s="40" t="str">
        <v>team 11</v>
      </c>
      <c r="B50" s="40">
        <v>0.4049586776859504</v>
      </c>
      <c r="C50" s="40">
        <v>1.4049586776859504</v>
      </c>
      <c r="E50" s="40" t="str">
        <v>team 21</v>
      </c>
      <c r="F50" s="40">
        <f t="shared" si="8"/>
        <v>3.5844155844155843</v>
      </c>
      <c r="H50" s="40" t="str">
        <f ca="1"/>
        <v>bye</v>
      </c>
      <c r="I50" s="40" t="str">
        <f ca="1"/>
        <v>bye</v>
      </c>
      <c r="J50" s="40" t="str">
        <f ca="1"/>
        <v>bye</v>
      </c>
      <c r="K50" s="40"/>
    </row>
    <row r="51" spans="1:11" x14ac:dyDescent="0.55000000000000004">
      <c r="A51" s="40" t="str" cm="1">
        <f t="array" ref="A51:C54">IFERROR(P14:R17,"")</f>
        <v>team 15</v>
      </c>
      <c r="B51" s="40">
        <v>0.63043478260869568</v>
      </c>
      <c r="C51" s="40">
        <v>4.6304347826086953</v>
      </c>
      <c r="E51" s="40" t="str">
        <v>team 9</v>
      </c>
      <c r="F51" s="40">
        <f t="shared" si="8"/>
        <v>3.5445544554455446</v>
      </c>
      <c r="H51" s="40" t="str">
        <f ca="1"/>
        <v>bye</v>
      </c>
      <c r="I51" s="40" t="str">
        <f ca="1"/>
        <v>bye</v>
      </c>
      <c r="J51" s="40" t="str">
        <f ca="1"/>
        <v>bye</v>
      </c>
      <c r="K51" s="40"/>
    </row>
    <row r="52" spans="1:11" x14ac:dyDescent="0.55000000000000004">
      <c r="A52" s="40" t="str">
        <v>team 14</v>
      </c>
      <c r="B52" s="40">
        <v>0.51327433628318586</v>
      </c>
      <c r="C52" s="40">
        <v>3.5132743362831858</v>
      </c>
      <c r="E52" s="40" t="str">
        <v>team 7</v>
      </c>
      <c r="F52" s="40">
        <f t="shared" si="8"/>
        <v>3.5319148936170213</v>
      </c>
      <c r="H52" s="40" t="str">
        <f ca="1"/>
        <v>bye</v>
      </c>
      <c r="I52" s="40" t="str">
        <f ca="1"/>
        <v>bye</v>
      </c>
      <c r="J52" s="40" t="str">
        <f ca="1"/>
        <v>bye</v>
      </c>
      <c r="K52" s="40"/>
    </row>
    <row r="53" spans="1:11" x14ac:dyDescent="0.55000000000000004">
      <c r="A53" s="40" t="str">
        <v>team 16</v>
      </c>
      <c r="B53" s="40">
        <v>0.550561797752809</v>
      </c>
      <c r="C53" s="40">
        <v>2.5505617977528088</v>
      </c>
      <c r="E53" s="40" t="str">
        <v>team 28</v>
      </c>
      <c r="F53" s="40">
        <f t="shared" si="8"/>
        <v>3.5316455696202533</v>
      </c>
      <c r="H53" s="40" t="str">
        <f ca="1"/>
        <v>bye</v>
      </c>
      <c r="I53" s="40" t="str">
        <f ca="1"/>
        <v>bye</v>
      </c>
      <c r="J53" s="40" t="str">
        <f ca="1"/>
        <v>bye</v>
      </c>
      <c r="K53" s="40"/>
    </row>
    <row r="54" spans="1:11" x14ac:dyDescent="0.55000000000000004">
      <c r="A54" s="40" t="str">
        <v>team 13</v>
      </c>
      <c r="B54" s="40">
        <v>0.33333333333333331</v>
      </c>
      <c r="C54" s="40">
        <v>1.3333333333333333</v>
      </c>
      <c r="E54" s="40" t="str">
        <v>team 14</v>
      </c>
      <c r="F54" s="40">
        <f t="shared" si="8"/>
        <v>3.5132743362831858</v>
      </c>
      <c r="H54" s="41" t="str">
        <f ca="1"/>
        <v>bye</v>
      </c>
      <c r="I54" s="41" t="str">
        <f ca="1"/>
        <v>bye</v>
      </c>
      <c r="J54" s="41" t="str">
        <f ca="1"/>
        <v>bye</v>
      </c>
      <c r="K54" s="41"/>
    </row>
    <row r="55" spans="1:11" x14ac:dyDescent="0.55000000000000004">
      <c r="A55" s="40" t="str" cm="1">
        <f t="array" ref="A55:C58">IFERROR(A31:C34,"")</f>
        <v>team 18</v>
      </c>
      <c r="B55" s="40">
        <v>0.6966292134831461</v>
      </c>
      <c r="C55" s="40">
        <v>4.6966292134831464</v>
      </c>
      <c r="E55" s="40" t="str">
        <v>team 16</v>
      </c>
      <c r="F55" s="40">
        <f t="shared" si="8"/>
        <v>2.5505617977528088</v>
      </c>
    </row>
    <row r="56" spans="1:11" x14ac:dyDescent="0.55000000000000004">
      <c r="A56" s="40" t="str">
        <v>team 17</v>
      </c>
      <c r="B56" s="40">
        <v>0.70930232558139539</v>
      </c>
      <c r="C56" s="40">
        <v>3.7093023255813953</v>
      </c>
      <c r="E56" s="40" t="str">
        <v>team 27</v>
      </c>
      <c r="F56" s="40">
        <f t="shared" si="8"/>
        <v>2.5474452554744524</v>
      </c>
    </row>
    <row r="57" spans="1:11" x14ac:dyDescent="0.55000000000000004">
      <c r="A57" s="40" t="str">
        <v>team 19</v>
      </c>
      <c r="B57" s="40">
        <v>0.29268292682926828</v>
      </c>
      <c r="C57" s="40">
        <v>2.2926829268292681</v>
      </c>
      <c r="E57" s="40" t="str">
        <v>team 12</v>
      </c>
      <c r="F57" s="40">
        <f t="shared" si="8"/>
        <v>2.485981308411215</v>
      </c>
    </row>
    <row r="58" spans="1:11" x14ac:dyDescent="0.55000000000000004">
      <c r="A58" s="40" t="str">
        <v>team 20</v>
      </c>
      <c r="B58" s="40">
        <v>0.34453781512605042</v>
      </c>
      <c r="C58" s="40">
        <v>1.3445378151260505</v>
      </c>
      <c r="E58" s="40" t="str">
        <v>team 5</v>
      </c>
      <c r="F58" s="40">
        <f t="shared" si="8"/>
        <v>2.4594594594594597</v>
      </c>
    </row>
    <row r="59" spans="1:11" x14ac:dyDescent="0.55000000000000004">
      <c r="A59" s="40" t="str" cm="1">
        <f t="array" ref="A59:C62">IFERROR(F31:H34,"")</f>
        <v>team 24</v>
      </c>
      <c r="B59" s="40">
        <v>0.57471264367816088</v>
      </c>
      <c r="C59" s="40">
        <v>4.5747126436781613</v>
      </c>
      <c r="E59" s="40" t="str">
        <v>team 23</v>
      </c>
      <c r="F59" s="40">
        <f t="shared" si="8"/>
        <v>2.4159999999999999</v>
      </c>
    </row>
    <row r="60" spans="1:11" x14ac:dyDescent="0.55000000000000004">
      <c r="A60" s="40" t="str">
        <v>team 21</v>
      </c>
      <c r="B60" s="40">
        <v>0.58441558441558439</v>
      </c>
      <c r="C60" s="40">
        <v>3.5844155844155843</v>
      </c>
      <c r="E60" s="40" t="str">
        <v>team 3</v>
      </c>
      <c r="F60" s="40">
        <f t="shared" si="8"/>
        <v>2.4117647058823528</v>
      </c>
    </row>
    <row r="61" spans="1:11" x14ac:dyDescent="0.55000000000000004">
      <c r="A61" s="40" t="str">
        <v>team 23</v>
      </c>
      <c r="B61" s="40">
        <v>0.41599999999999998</v>
      </c>
      <c r="C61" s="40">
        <v>2.4159999999999999</v>
      </c>
      <c r="E61" s="40" t="str">
        <v>team 31</v>
      </c>
      <c r="F61" s="40">
        <f t="shared" si="8"/>
        <v>2.4086021505376345</v>
      </c>
    </row>
    <row r="62" spans="1:11" x14ac:dyDescent="0.55000000000000004">
      <c r="A62" s="40" t="str">
        <v>team 22</v>
      </c>
      <c r="B62" s="40">
        <v>0.46835443037974683</v>
      </c>
      <c r="C62" s="40">
        <v>1.4683544303797469</v>
      </c>
      <c r="E62" s="40" t="str">
        <v>team 19</v>
      </c>
      <c r="F62" s="40">
        <f t="shared" si="8"/>
        <v>2.2926829268292681</v>
      </c>
    </row>
    <row r="63" spans="1:11" x14ac:dyDescent="0.55000000000000004">
      <c r="A63" s="40" t="str" cm="1">
        <f t="array" ref="A63:C66">IFERROR(K31:M34,"")</f>
        <v>team 26</v>
      </c>
      <c r="B63" s="40">
        <v>0.58064516129032262</v>
      </c>
      <c r="C63" s="40">
        <v>4.580645161290323</v>
      </c>
      <c r="E63" s="40" t="str">
        <v>team 6</v>
      </c>
      <c r="F63" s="40">
        <f t="shared" si="8"/>
        <v>1.4782608695652173</v>
      </c>
    </row>
    <row r="64" spans="1:11" x14ac:dyDescent="0.55000000000000004">
      <c r="A64" s="40" t="str">
        <v>team 28</v>
      </c>
      <c r="B64" s="40">
        <v>0.53164556962025311</v>
      </c>
      <c r="C64" s="40">
        <v>3.5316455696202533</v>
      </c>
      <c r="E64" s="40" t="str">
        <v>team 22</v>
      </c>
      <c r="F64" s="40">
        <f t="shared" si="8"/>
        <v>1.4683544303797469</v>
      </c>
    </row>
    <row r="65" spans="1:6" x14ac:dyDescent="0.55000000000000004">
      <c r="A65" s="40" t="str">
        <v>team 27</v>
      </c>
      <c r="B65" s="40">
        <v>0.54744525547445255</v>
      </c>
      <c r="C65" s="40">
        <v>2.5474452554744524</v>
      </c>
      <c r="E65" s="40" t="str">
        <v>team 11</v>
      </c>
      <c r="F65" s="40">
        <f t="shared" si="8"/>
        <v>1.4049586776859504</v>
      </c>
    </row>
    <row r="66" spans="1:6" x14ac:dyDescent="0.55000000000000004">
      <c r="A66" s="40" t="str">
        <v>team 25</v>
      </c>
      <c r="B66" s="40">
        <v>0.26760563380281688</v>
      </c>
      <c r="C66" s="40">
        <v>1.267605633802817</v>
      </c>
      <c r="E66" s="40" t="str">
        <v>team 30</v>
      </c>
      <c r="F66" s="40">
        <f t="shared" si="8"/>
        <v>1.3643410852713178</v>
      </c>
    </row>
    <row r="67" spans="1:6" x14ac:dyDescent="0.55000000000000004">
      <c r="A67" s="40" t="str" cm="1">
        <f t="array" ref="A67:C70">IFERROR(P31:R34,"")</f>
        <v>team 29</v>
      </c>
      <c r="B67" s="40">
        <v>0.60902255639097747</v>
      </c>
      <c r="C67" s="40">
        <v>4.6090225563909772</v>
      </c>
      <c r="E67" s="40" t="str">
        <v>team 20</v>
      </c>
      <c r="F67" s="40">
        <f t="shared" si="8"/>
        <v>1.3445378151260505</v>
      </c>
    </row>
    <row r="68" spans="1:6" x14ac:dyDescent="0.55000000000000004">
      <c r="A68" s="40" t="str">
        <v>team 32</v>
      </c>
      <c r="B68" s="40">
        <v>0.61386138613861385</v>
      </c>
      <c r="C68" s="40">
        <v>3.613861386138614</v>
      </c>
      <c r="E68" s="40" t="str">
        <v>team 13</v>
      </c>
      <c r="F68" s="40">
        <f t="shared" si="8"/>
        <v>1.3333333333333333</v>
      </c>
    </row>
    <row r="69" spans="1:6" x14ac:dyDescent="0.55000000000000004">
      <c r="A69" s="40" t="str">
        <v>team 31</v>
      </c>
      <c r="B69" s="40">
        <v>0.40860215053763443</v>
      </c>
      <c r="C69" s="40">
        <v>2.4086021505376345</v>
      </c>
      <c r="E69" s="40" t="str">
        <v>team 1</v>
      </c>
      <c r="F69" s="40">
        <f t="shared" si="8"/>
        <v>1.2868852459016393</v>
      </c>
    </row>
    <row r="70" spans="1:6" x14ac:dyDescent="0.55000000000000004">
      <c r="A70" s="41" t="str">
        <v>team 30</v>
      </c>
      <c r="B70" s="41">
        <v>0.36434108527131781</v>
      </c>
      <c r="C70" s="41">
        <v>1.3643410852713178</v>
      </c>
      <c r="E70" s="41" t="str">
        <v>team 25</v>
      </c>
      <c r="F70" s="41">
        <f t="shared" si="8"/>
        <v>1.267605633802817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0" sqref="L10"/>
    </sheetView>
  </sheetViews>
  <sheetFormatPr defaultRowHeight="14.4" x14ac:dyDescent="0.55000000000000004"/>
  <cols>
    <col min="1" max="1" width="2.68359375" customWidth="1"/>
    <col min="2" max="2" width="3.68359375" style="1" customWidth="1"/>
    <col min="3" max="3" width="11.68359375" customWidth="1"/>
    <col min="4" max="4" width="9.68359375" customWidth="1"/>
    <col min="5" max="5" width="3.68359375" style="1" customWidth="1"/>
    <col min="6" max="6" width="11.68359375" customWidth="1"/>
    <col min="7" max="7" width="9.68359375" customWidth="1"/>
    <col min="8" max="8" width="3.68359375" style="1" customWidth="1"/>
    <col min="9" max="9" width="11.68359375" customWidth="1"/>
    <col min="10" max="10" width="3.68359375" customWidth="1"/>
    <col min="11" max="11" width="9.68359375" style="1" customWidth="1"/>
    <col min="12" max="12" width="11.68359375" customWidth="1"/>
    <col min="13" max="13" width="3.68359375" customWidth="1"/>
    <col min="14" max="14" width="9.68359375" style="1" customWidth="1"/>
    <col min="15" max="15" width="11.68359375" customWidth="1"/>
    <col min="16" max="16" width="3.68359375" customWidth="1"/>
    <col min="17" max="17" width="2.68359375" customWidth="1"/>
  </cols>
  <sheetData>
    <row r="1" spans="1:17" ht="23.1" x14ac:dyDescent="0.85">
      <c r="A1" s="15"/>
      <c r="B1" s="235" t="s">
        <v>7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11"/>
    </row>
    <row r="2" spans="1:17" ht="15.6" x14ac:dyDescent="0.6">
      <c r="A2" s="2"/>
      <c r="B2" s="225" t="s">
        <v>8</v>
      </c>
      <c r="C2" s="225"/>
      <c r="D2" s="3"/>
      <c r="E2" s="225" t="s">
        <v>4</v>
      </c>
      <c r="F2" s="225"/>
      <c r="G2" s="3"/>
      <c r="H2" s="225" t="s">
        <v>5</v>
      </c>
      <c r="I2" s="225"/>
      <c r="J2" s="225"/>
      <c r="K2" s="3"/>
      <c r="L2" s="225" t="s">
        <v>1</v>
      </c>
      <c r="M2" s="225"/>
      <c r="N2" s="3"/>
      <c r="O2" s="225" t="s">
        <v>0</v>
      </c>
      <c r="P2" s="225"/>
      <c r="Q2" s="4"/>
    </row>
    <row r="3" spans="1:17" ht="14.7" thickBot="1" x14ac:dyDescent="0.6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8"/>
      <c r="O3" s="9"/>
      <c r="P3" s="5"/>
      <c r="Q3" s="7"/>
    </row>
    <row r="4" spans="1:17" ht="15" thickTop="1" thickBot="1" x14ac:dyDescent="0.6">
      <c r="A4" s="6"/>
      <c r="B4" s="5"/>
      <c r="C4" s="10"/>
      <c r="D4" s="5"/>
      <c r="E4" s="5"/>
      <c r="F4" s="10"/>
      <c r="G4" s="5"/>
      <c r="H4" s="117">
        <v>1</v>
      </c>
      <c r="I4" s="118"/>
      <c r="J4" s="119"/>
      <c r="K4" s="5"/>
      <c r="L4" s="10"/>
      <c r="M4" s="5"/>
      <c r="N4" s="5"/>
      <c r="O4" s="10"/>
      <c r="P4" s="5"/>
      <c r="Q4" s="7"/>
    </row>
    <row r="5" spans="1:17" ht="15" thickTop="1" thickBot="1" x14ac:dyDescent="0.6">
      <c r="A5" s="6"/>
      <c r="B5" s="5"/>
      <c r="C5" s="10"/>
      <c r="D5" s="5"/>
      <c r="E5" s="5"/>
      <c r="F5" s="10"/>
      <c r="G5" s="145"/>
      <c r="H5" s="120">
        <v>8</v>
      </c>
      <c r="I5" s="121"/>
      <c r="J5" s="122"/>
      <c r="K5" s="142"/>
      <c r="L5" s="10"/>
      <c r="M5" s="5"/>
      <c r="N5" s="5"/>
      <c r="O5" s="10"/>
      <c r="P5" s="5"/>
      <c r="Q5" s="7"/>
    </row>
    <row r="6" spans="1:17" ht="15" thickTop="1" thickBot="1" x14ac:dyDescent="0.6">
      <c r="A6" s="6"/>
      <c r="B6" s="5"/>
      <c r="C6" s="10"/>
      <c r="D6" s="5"/>
      <c r="E6" s="132"/>
      <c r="F6" s="133" t="str">
        <f>IF(I5="Bye",IF(OR(ISBLANK(M6),ISBLANK(M7),ISBLANK(L6),ISBLANK(L7)),I5,IF(M6&lt;M7,I4,I5)),IF(OR(ISBLANK(I4),ISBLANK(I5)),"",IF(OR(ISBLANK(J4),ISBLANK(J5)),"",IF(J4&lt;J5,I4,I5))))</f>
        <v/>
      </c>
      <c r="G6" s="5"/>
      <c r="H6" s="5"/>
      <c r="I6" s="10"/>
      <c r="J6" s="5"/>
      <c r="K6" s="5"/>
      <c r="L6" s="123" t="str">
        <f>IF(I5="Bye",I4,IF(OR(ISBLANK(I4),ISBLANK(I5)),"",IF(OR(ISBLANK(J4),ISBLANK(J5)),"",IF(J4&gt;J5,I4,I5))))</f>
        <v/>
      </c>
      <c r="M6" s="124"/>
      <c r="N6" s="5"/>
      <c r="O6" s="10"/>
      <c r="P6" s="5"/>
      <c r="Q6" s="7"/>
    </row>
    <row r="7" spans="1:17" ht="15" thickTop="1" thickBot="1" x14ac:dyDescent="0.6">
      <c r="A7" s="6"/>
      <c r="B7" s="5"/>
      <c r="C7" s="10"/>
      <c r="D7" s="145"/>
      <c r="E7" s="134"/>
      <c r="F7" s="135" t="str">
        <f>IF(I9="Bye",IF(OR(ISBLANK(M6),ISBLANK(M7),ISBLANK(L6),ISBLANK(L7)),I9,IF(M6&lt;M7,I9,I8)),IF(OR(ISBLANK(I8),ISBLANK(I9)),"",IF(OR(ISBLANK(J8),ISBLANK(J9)),"",IF(J8&lt;J9,I8,I9))))</f>
        <v/>
      </c>
      <c r="G7" s="5"/>
      <c r="H7" s="5"/>
      <c r="I7" s="10"/>
      <c r="J7" s="5"/>
      <c r="K7" s="5"/>
      <c r="L7" s="125" t="str">
        <f>IF(I9="Bye",I8,IF(OR(ISBLANK(I8),ISBLANK(I9)),"",IF(OR(ISBLANK(J8),ISBLANK(J9)),"",IF(J8&gt;J9,I8,I9))))</f>
        <v/>
      </c>
      <c r="M7" s="126"/>
      <c r="N7" s="142"/>
      <c r="O7" s="10"/>
      <c r="P7" s="5"/>
      <c r="Q7" s="7"/>
    </row>
    <row r="8" spans="1:17" ht="15" thickTop="1" thickBot="1" x14ac:dyDescent="0.6">
      <c r="A8" s="6"/>
      <c r="B8" s="5"/>
      <c r="C8" s="10"/>
      <c r="D8" s="147"/>
      <c r="E8" s="5"/>
      <c r="F8" s="10"/>
      <c r="G8" s="146"/>
      <c r="H8" s="117">
        <v>4</v>
      </c>
      <c r="I8" s="118"/>
      <c r="J8" s="119"/>
      <c r="K8" s="143"/>
      <c r="L8" s="10"/>
      <c r="M8" s="5"/>
      <c r="N8" s="144"/>
      <c r="O8" s="10"/>
      <c r="P8" s="5"/>
      <c r="Q8" s="7"/>
    </row>
    <row r="9" spans="1:17" ht="15" thickTop="1" thickBot="1" x14ac:dyDescent="0.6">
      <c r="A9" s="6"/>
      <c r="B9" s="5"/>
      <c r="C9" s="10"/>
      <c r="D9" s="147"/>
      <c r="E9" s="5"/>
      <c r="F9" s="10"/>
      <c r="G9" s="5"/>
      <c r="H9" s="120">
        <v>5</v>
      </c>
      <c r="I9" s="121"/>
      <c r="J9" s="122"/>
      <c r="K9" s="5"/>
      <c r="L9" s="10"/>
      <c r="M9" s="5"/>
      <c r="N9" s="144"/>
      <c r="O9" s="10"/>
      <c r="P9" s="5"/>
      <c r="Q9" s="7"/>
    </row>
    <row r="10" spans="1:17" ht="14.7" thickTop="1" x14ac:dyDescent="0.55000000000000004">
      <c r="A10" s="6"/>
      <c r="B10" s="136"/>
      <c r="C10" s="137" t="str">
        <f>IF(F7="Bye",F6,IF(OR(ISBLANK(F6),ISBLANK(F7)),"",IF(OR(ISBLANK(E6),ISBLANK(E7)),"",IF(E6&gt;E7,F6,F7))))</f>
        <v/>
      </c>
      <c r="D10" s="5"/>
      <c r="E10" s="5"/>
      <c r="F10" s="10"/>
      <c r="G10" s="5"/>
      <c r="H10" s="5"/>
      <c r="I10" s="10"/>
      <c r="J10" s="5"/>
      <c r="K10" s="5"/>
      <c r="L10" s="10"/>
      <c r="M10" s="5"/>
      <c r="N10" s="5"/>
      <c r="O10" s="127" t="str">
        <f>IF(L7="Bye",L6,IF(OR(ISBLANK(L6),ISBLANK(L7)),"",IF(OR(ISBLANK(M6),ISBLANK(M7)),"",IF(M6&gt;M7,L6,L7))))</f>
        <v/>
      </c>
      <c r="P10" s="128"/>
      <c r="Q10" s="7"/>
    </row>
    <row r="11" spans="1:17" ht="14.7" thickBot="1" x14ac:dyDescent="0.6">
      <c r="A11" s="6"/>
      <c r="B11" s="138"/>
      <c r="C11" s="139" t="str">
        <f>IF(F15="Bye",F14,IF(OR(ISBLANK(F14),ISBLANK(F15)),"",IF(OR(ISBLANK(E14),ISBLANK(E15)),"",IF(E14&gt;E15,F14,F15))))</f>
        <v/>
      </c>
      <c r="D11" s="5"/>
      <c r="E11" s="5"/>
      <c r="F11" s="10"/>
      <c r="G11" s="5"/>
      <c r="H11" s="5"/>
      <c r="I11" s="10"/>
      <c r="J11" s="5"/>
      <c r="K11" s="5"/>
      <c r="L11" s="10"/>
      <c r="M11" s="5"/>
      <c r="N11" s="5"/>
      <c r="O11" s="129" t="str">
        <f>IF(L15="Bye",L14,IF(OR(ISBLANK(L14),ISBLANK(L15)),"",IF(OR(ISBLANK(M14),ISBLANK(M15)),"",IF(M14&gt;M15,L14,L15))))</f>
        <v/>
      </c>
      <c r="P11" s="130"/>
      <c r="Q11" s="7"/>
    </row>
    <row r="12" spans="1:17" ht="15" thickTop="1" thickBot="1" x14ac:dyDescent="0.6">
      <c r="A12" s="6"/>
      <c r="B12" s="5"/>
      <c r="C12" s="10"/>
      <c r="D12" s="147"/>
      <c r="E12" s="5"/>
      <c r="F12" s="10"/>
      <c r="G12" s="5"/>
      <c r="H12" s="117">
        <v>3</v>
      </c>
      <c r="I12" s="118"/>
      <c r="J12" s="119"/>
      <c r="K12" s="5"/>
      <c r="L12" s="10"/>
      <c r="M12" s="5"/>
      <c r="N12" s="144"/>
      <c r="O12" s="10"/>
      <c r="P12" s="5"/>
      <c r="Q12" s="7"/>
    </row>
    <row r="13" spans="1:17" ht="15" thickTop="1" thickBot="1" x14ac:dyDescent="0.6">
      <c r="A13" s="6"/>
      <c r="B13" s="5"/>
      <c r="C13" s="10"/>
      <c r="D13" s="147"/>
      <c r="E13" s="5"/>
      <c r="F13" s="10"/>
      <c r="G13" s="145"/>
      <c r="H13" s="120">
        <v>6</v>
      </c>
      <c r="I13" s="121"/>
      <c r="J13" s="122"/>
      <c r="K13" s="142"/>
      <c r="L13" s="10"/>
      <c r="M13" s="5"/>
      <c r="N13" s="144"/>
      <c r="O13" s="10"/>
      <c r="P13" s="5"/>
      <c r="Q13" s="7"/>
    </row>
    <row r="14" spans="1:17" ht="15" thickTop="1" thickBot="1" x14ac:dyDescent="0.6">
      <c r="A14" s="6"/>
      <c r="B14" s="5"/>
      <c r="C14" s="10"/>
      <c r="D14" s="146"/>
      <c r="E14" s="132"/>
      <c r="F14" s="133" t="str">
        <f>IF(I13="Bye",IF(OR(ISBLANK(M14),ISBLANK(M15),ISBLANK(L14),ISBLANK(L15)),I13,IF(M14&lt;M15,I12,I13)),IF(OR(ISBLANK(I12),ISBLANK(I13)),"",IF(OR(ISBLANK(J12),ISBLANK(J13)),"",IF(J12&lt;J13,I12,I13))))</f>
        <v/>
      </c>
      <c r="G14" s="5"/>
      <c r="H14" s="5"/>
      <c r="I14" s="10"/>
      <c r="J14" s="5"/>
      <c r="K14" s="5"/>
      <c r="L14" s="123" t="str">
        <f>IF(I13="Bye",I12,IF(OR(ISBLANK(I12),ISBLANK(I13)),"",IF(OR(ISBLANK(J12),ISBLANK(J13)),"",IF(J12&gt;J13,I12,I13))))</f>
        <v/>
      </c>
      <c r="M14" s="124"/>
      <c r="N14" s="143"/>
      <c r="O14" s="10"/>
      <c r="P14" s="5"/>
      <c r="Q14" s="7"/>
    </row>
    <row r="15" spans="1:17" ht="15" thickTop="1" thickBot="1" x14ac:dyDescent="0.6">
      <c r="A15" s="6"/>
      <c r="B15" s="5"/>
      <c r="C15" s="10"/>
      <c r="D15" s="5"/>
      <c r="E15" s="134"/>
      <c r="F15" s="135" t="str">
        <f>IF(I17="Bye",IF(OR(ISBLANK(M14),ISBLANK(M15),ISBLANK(L14),ISBLANK(L15)),I17,IF(M14&lt;M15,I17,I16)),IF(OR(ISBLANK(I16),ISBLANK(I17)),"",IF(OR(ISBLANK(J16),ISBLANK(J17)),"",IF(J16&lt;J17,I16,I17))))</f>
        <v/>
      </c>
      <c r="G15" s="5"/>
      <c r="H15" s="5"/>
      <c r="I15" s="10"/>
      <c r="J15" s="5"/>
      <c r="K15" s="5"/>
      <c r="L15" s="125" t="str">
        <f>IF(I17="Bye",I16,IF(OR(ISBLANK(I16),ISBLANK(I17)),"",IF(OR(ISBLANK(J16),ISBLANK(J17)),"",IF(J16&gt;J17,I16,I17))))</f>
        <v/>
      </c>
      <c r="M15" s="126"/>
      <c r="N15" s="5"/>
      <c r="O15" s="10"/>
      <c r="P15" s="5"/>
      <c r="Q15" s="7"/>
    </row>
    <row r="16" spans="1:17" ht="16.2" thickTop="1" thickBot="1" x14ac:dyDescent="0.65">
      <c r="A16" s="6"/>
      <c r="B16" s="5"/>
      <c r="C16" s="10"/>
      <c r="D16" s="5"/>
      <c r="E16" s="5"/>
      <c r="F16" s="10"/>
      <c r="G16" s="146"/>
      <c r="H16" s="117">
        <v>2</v>
      </c>
      <c r="I16" s="118"/>
      <c r="J16" s="119"/>
      <c r="K16" s="143"/>
      <c r="L16" s="10"/>
      <c r="M16" s="5"/>
      <c r="N16" s="5"/>
      <c r="O16" s="236" t="s">
        <v>6</v>
      </c>
      <c r="P16" s="237"/>
      <c r="Q16" s="7"/>
    </row>
    <row r="17" spans="1:17" ht="15" thickTop="1" thickBot="1" x14ac:dyDescent="0.6">
      <c r="A17" s="6"/>
      <c r="B17" s="5"/>
      <c r="C17" s="10"/>
      <c r="D17" s="5"/>
      <c r="E17" s="5"/>
      <c r="F17" s="10"/>
      <c r="G17" s="5"/>
      <c r="H17" s="120">
        <v>7</v>
      </c>
      <c r="I17" s="121"/>
      <c r="J17" s="122"/>
      <c r="K17" s="5"/>
      <c r="L17" s="10"/>
      <c r="M17" s="5"/>
      <c r="N17" s="5"/>
      <c r="O17" s="140" t="str">
        <f>IF(L7="Bye",L7,IF(OR(ISBLANK(L6),ISBLANK(L7)),"",IF(OR(ISBLANK(M6),ISBLANK(M7)),"",IF(L6&lt;L7,L6,L7))))</f>
        <v/>
      </c>
      <c r="P17" s="141"/>
      <c r="Q17" s="7"/>
    </row>
    <row r="18" spans="1:17" ht="15" thickTop="1" thickBot="1" x14ac:dyDescent="0.6">
      <c r="A18" s="6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29" t="str">
        <f>IF(L15="Bye",L15,IF(OR(ISBLANK(L14),ISBLANK(L15)),"",IF(OR(ISBLANK(M14),ISBLANK(M15)),"",IF(M14&lt;M15,L14,L15))))</f>
        <v/>
      </c>
      <c r="P18" s="131"/>
      <c r="Q18" s="7"/>
    </row>
    <row r="19" spans="1:17" ht="14.7" thickTop="1" x14ac:dyDescent="0.55000000000000004">
      <c r="A19" s="12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4"/>
    </row>
    <row r="20" spans="1:17" x14ac:dyDescent="0.55000000000000004">
      <c r="B20"/>
      <c r="E20"/>
      <c r="H20"/>
      <c r="K20"/>
      <c r="N20"/>
    </row>
    <row r="21" spans="1:17" x14ac:dyDescent="0.55000000000000004">
      <c r="B21"/>
      <c r="E21"/>
      <c r="H21"/>
      <c r="K21"/>
      <c r="N21"/>
    </row>
    <row r="22" spans="1:17" x14ac:dyDescent="0.55000000000000004">
      <c r="B22"/>
      <c r="E22"/>
      <c r="H22"/>
      <c r="K22"/>
      <c r="N22"/>
    </row>
    <row r="23" spans="1:17" x14ac:dyDescent="0.55000000000000004">
      <c r="B23"/>
      <c r="E23"/>
      <c r="H23"/>
      <c r="K23"/>
      <c r="N23"/>
    </row>
    <row r="24" spans="1:17" x14ac:dyDescent="0.55000000000000004">
      <c r="B24"/>
      <c r="E24"/>
      <c r="H24"/>
      <c r="K24"/>
      <c r="N24"/>
    </row>
    <row r="25" spans="1:17" x14ac:dyDescent="0.55000000000000004">
      <c r="B25"/>
      <c r="E25"/>
      <c r="H25"/>
      <c r="K25"/>
      <c r="N25"/>
    </row>
    <row r="26" spans="1:17" x14ac:dyDescent="0.55000000000000004">
      <c r="B26"/>
      <c r="E26"/>
      <c r="H26"/>
      <c r="K26"/>
      <c r="N26"/>
    </row>
    <row r="27" spans="1:17" x14ac:dyDescent="0.55000000000000004">
      <c r="B27"/>
      <c r="E27"/>
      <c r="H27"/>
      <c r="K27"/>
      <c r="N27"/>
    </row>
    <row r="28" spans="1:17" x14ac:dyDescent="0.55000000000000004">
      <c r="B28"/>
      <c r="E28"/>
      <c r="H28"/>
      <c r="K28"/>
      <c r="N28"/>
    </row>
    <row r="29" spans="1:17" x14ac:dyDescent="0.55000000000000004">
      <c r="B29"/>
      <c r="E29"/>
      <c r="H29"/>
      <c r="K29"/>
      <c r="N29"/>
    </row>
    <row r="30" spans="1:17" x14ac:dyDescent="0.55000000000000004">
      <c r="B30"/>
      <c r="E30"/>
      <c r="H30"/>
      <c r="K30"/>
      <c r="N30"/>
    </row>
    <row r="31" spans="1:17" x14ac:dyDescent="0.55000000000000004">
      <c r="B31"/>
      <c r="E31"/>
      <c r="H31"/>
      <c r="K31"/>
      <c r="N31"/>
    </row>
    <row r="32" spans="1:17" x14ac:dyDescent="0.55000000000000004">
      <c r="B32"/>
      <c r="E32"/>
      <c r="H32"/>
      <c r="K32"/>
      <c r="N32"/>
    </row>
    <row r="33" spans="2:14" x14ac:dyDescent="0.55000000000000004">
      <c r="B33"/>
      <c r="E33"/>
      <c r="H33"/>
      <c r="K33"/>
      <c r="N33"/>
    </row>
    <row r="34" spans="2:14" x14ac:dyDescent="0.55000000000000004">
      <c r="B34"/>
      <c r="E34"/>
      <c r="H34"/>
      <c r="K34"/>
      <c r="N34"/>
    </row>
    <row r="35" spans="2:14" x14ac:dyDescent="0.55000000000000004">
      <c r="N35" s="5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29" priority="2">
      <formula>$B$10&gt;$B$11</formula>
    </cfRule>
  </conditionalFormatting>
  <conditionalFormatting sqref="C11">
    <cfRule type="expression" dxfId="28" priority="1">
      <formula>$B$11&gt;$B$10</formula>
    </cfRule>
  </conditionalFormatting>
  <conditionalFormatting sqref="O10">
    <cfRule type="expression" dxfId="27" priority="4">
      <formula>$P$10&gt;$P$11</formula>
    </cfRule>
  </conditionalFormatting>
  <conditionalFormatting sqref="O11">
    <cfRule type="expression" dxfId="26" priority="3">
      <formula>$P$11&gt;$P$10</formula>
    </cfRule>
  </conditionalFormatting>
  <conditionalFormatting sqref="O17">
    <cfRule type="expression" dxfId="25" priority="10">
      <formula>$P$17&gt;$P$18</formula>
    </cfRule>
  </conditionalFormatting>
  <conditionalFormatting sqref="O18">
    <cfRule type="expression" dxfId="24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topLeftCell="A2" zoomScaleNormal="100" workbookViewId="0">
      <selection activeCell="X23" sqref="X23"/>
    </sheetView>
  </sheetViews>
  <sheetFormatPr defaultRowHeight="14.4" x14ac:dyDescent="0.55000000000000004"/>
  <cols>
    <col min="1" max="1" width="2.68359375" customWidth="1"/>
    <col min="2" max="2" width="3.68359375" style="1" customWidth="1"/>
    <col min="3" max="3" width="11.68359375" customWidth="1"/>
    <col min="4" max="4" width="9.68359375" customWidth="1"/>
    <col min="5" max="5" width="3.68359375" style="1" customWidth="1"/>
    <col min="6" max="6" width="11.68359375" customWidth="1"/>
    <col min="7" max="7" width="9.68359375" customWidth="1"/>
    <col min="8" max="8" width="3.68359375" style="1" customWidth="1"/>
    <col min="9" max="9" width="11.68359375" customWidth="1"/>
    <col min="10" max="10" width="9.68359375" customWidth="1"/>
    <col min="11" max="11" width="3.68359375" style="1" customWidth="1"/>
    <col min="12" max="12" width="11.68359375" customWidth="1"/>
    <col min="13" max="13" width="3.68359375" customWidth="1"/>
    <col min="14" max="14" width="9.68359375" style="1" customWidth="1"/>
    <col min="15" max="15" width="11.68359375" customWidth="1"/>
    <col min="16" max="16" width="3.68359375" customWidth="1"/>
    <col min="17" max="17" width="9.68359375" style="1" customWidth="1"/>
    <col min="18" max="18" width="11.68359375" customWidth="1"/>
    <col min="19" max="19" width="3.68359375" customWidth="1"/>
    <col min="20" max="20" width="9.68359375" style="1" customWidth="1"/>
    <col min="21" max="21" width="11.68359375" customWidth="1"/>
    <col min="22" max="22" width="3.68359375" customWidth="1"/>
    <col min="23" max="23" width="2.68359375" customWidth="1"/>
  </cols>
  <sheetData>
    <row r="1" spans="1:23" ht="23.1" x14ac:dyDescent="0.85">
      <c r="A1" s="15"/>
      <c r="B1" s="226" t="s">
        <v>7</v>
      </c>
      <c r="C1" s="226"/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26"/>
      <c r="Q1" s="226"/>
      <c r="R1" s="226"/>
      <c r="S1" s="226"/>
      <c r="T1" s="226"/>
      <c r="U1" s="226"/>
      <c r="V1" s="226"/>
      <c r="W1" s="11"/>
    </row>
    <row r="2" spans="1:23" ht="15.6" x14ac:dyDescent="0.6">
      <c r="A2" s="2"/>
      <c r="B2" s="225" t="s">
        <v>8</v>
      </c>
      <c r="C2" s="225"/>
      <c r="D2" s="3"/>
      <c r="E2" s="225" t="s">
        <v>4</v>
      </c>
      <c r="F2" s="225"/>
      <c r="G2" s="3"/>
      <c r="H2" s="225" t="s">
        <v>3</v>
      </c>
      <c r="I2" s="225"/>
      <c r="J2" s="3"/>
      <c r="K2" s="225" t="s">
        <v>5</v>
      </c>
      <c r="L2" s="225"/>
      <c r="M2" s="225"/>
      <c r="N2" s="3"/>
      <c r="O2" s="225" t="s">
        <v>2</v>
      </c>
      <c r="P2" s="225"/>
      <c r="Q2" s="3"/>
      <c r="R2" s="225" t="s">
        <v>1</v>
      </c>
      <c r="S2" s="225"/>
      <c r="T2" s="3"/>
      <c r="U2" s="225" t="s">
        <v>0</v>
      </c>
      <c r="V2" s="225"/>
      <c r="W2" s="4"/>
    </row>
    <row r="3" spans="1:23" ht="14.7" thickBot="1" x14ac:dyDescent="0.6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5" thickTop="1" thickBot="1" x14ac:dyDescent="0.6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/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5" thickTop="1" thickBot="1" x14ac:dyDescent="0.6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/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5" thickTop="1" thickBot="1" x14ac:dyDescent="0.6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/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/>
      </c>
      <c r="P6" s="124"/>
      <c r="Q6" s="5"/>
      <c r="R6" s="10"/>
      <c r="S6" s="5"/>
      <c r="T6" s="5"/>
      <c r="U6" s="10"/>
      <c r="V6" s="5"/>
      <c r="W6" s="7"/>
    </row>
    <row r="7" spans="1:23" ht="15" thickTop="1" thickBot="1" x14ac:dyDescent="0.6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5" thickTop="1" thickBot="1" x14ac:dyDescent="0.6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/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5" thickTop="1" thickBot="1" x14ac:dyDescent="0.6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/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5" thickTop="1" thickBot="1" x14ac:dyDescent="0.6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5" thickTop="1" thickBot="1" x14ac:dyDescent="0.6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/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5" thickTop="1" thickBot="1" x14ac:dyDescent="0.6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/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5" thickTop="1" thickBot="1" x14ac:dyDescent="0.6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/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5" thickTop="1" thickBot="1" x14ac:dyDescent="0.6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/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/>
      </c>
      <c r="P14" s="124"/>
      <c r="Q14" s="157"/>
      <c r="R14" s="10"/>
      <c r="S14" s="5"/>
      <c r="T14" s="144"/>
      <c r="U14" s="10"/>
      <c r="V14" s="5"/>
      <c r="W14" s="7"/>
    </row>
    <row r="15" spans="1:23" ht="15" thickTop="1" thickBot="1" x14ac:dyDescent="0.6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/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/>
      </c>
      <c r="P15" s="126"/>
      <c r="Q15" s="5"/>
      <c r="R15" s="10"/>
      <c r="S15" s="5"/>
      <c r="T15" s="144"/>
      <c r="U15" s="10"/>
      <c r="V15" s="5"/>
      <c r="W15" s="7"/>
    </row>
    <row r="16" spans="1:23" ht="15" thickTop="1" thickBot="1" x14ac:dyDescent="0.6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/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5" thickTop="1" thickBot="1" x14ac:dyDescent="0.6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/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4.7" thickTop="1" x14ac:dyDescent="0.55000000000000004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4.7" thickBot="1" x14ac:dyDescent="0.6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5" thickTop="1" thickBot="1" x14ac:dyDescent="0.6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/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5" thickTop="1" thickBot="1" x14ac:dyDescent="0.6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/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5" thickTop="1" thickBot="1" x14ac:dyDescent="0.6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/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/>
      </c>
      <c r="P22" s="124"/>
      <c r="Q22" s="5"/>
      <c r="R22" s="10"/>
      <c r="S22" s="5"/>
      <c r="T22" s="144"/>
      <c r="U22" s="10"/>
      <c r="V22" s="5"/>
      <c r="W22" s="7"/>
    </row>
    <row r="23" spans="1:23" ht="15" thickTop="1" thickBot="1" x14ac:dyDescent="0.6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/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/>
      </c>
      <c r="P23" s="126"/>
      <c r="Q23" s="156"/>
      <c r="R23" s="10"/>
      <c r="S23" s="5"/>
      <c r="T23" s="144"/>
      <c r="U23" s="10"/>
      <c r="V23" s="5"/>
      <c r="W23" s="7"/>
    </row>
    <row r="24" spans="1:23" ht="15" thickTop="1" thickBot="1" x14ac:dyDescent="0.6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/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5" thickTop="1" thickBot="1" x14ac:dyDescent="0.6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/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5" thickTop="1" thickBot="1" x14ac:dyDescent="0.6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/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5" thickTop="1" thickBot="1" x14ac:dyDescent="0.6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5" thickTop="1" thickBot="1" x14ac:dyDescent="0.6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/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6.2" thickTop="1" thickBot="1" x14ac:dyDescent="0.65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/>
      <c r="M29" s="122"/>
      <c r="N29" s="156"/>
      <c r="O29" s="10"/>
      <c r="P29" s="5"/>
      <c r="Q29" s="144"/>
      <c r="R29" s="10"/>
      <c r="S29" s="5"/>
      <c r="T29" s="5"/>
      <c r="U29" s="236" t="s">
        <v>6</v>
      </c>
      <c r="V29" s="237"/>
      <c r="W29" s="7"/>
    </row>
    <row r="30" spans="1:23" ht="15" thickTop="1" thickBot="1" x14ac:dyDescent="0.6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5" thickTop="1" thickBot="1" x14ac:dyDescent="0.6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/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/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5" thickTop="1" thickBot="1" x14ac:dyDescent="0.6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/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5" thickTop="1" thickBot="1" x14ac:dyDescent="0.6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/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4.7" thickTop="1" x14ac:dyDescent="0.55000000000000004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  <row r="35" spans="1:23" x14ac:dyDescent="0.55000000000000004">
      <c r="Q35" s="5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23" priority="2">
      <formula>$B$18&gt;$B$19</formula>
    </cfRule>
  </conditionalFormatting>
  <conditionalFormatting sqref="C19">
    <cfRule type="expression" dxfId="22" priority="1">
      <formula>$B$19&gt;$B$18</formula>
    </cfRule>
  </conditionalFormatting>
  <conditionalFormatting sqref="U18">
    <cfRule type="expression" dxfId="21" priority="6">
      <formula>$V$18&gt;$V$19</formula>
    </cfRule>
  </conditionalFormatting>
  <conditionalFormatting sqref="U19">
    <cfRule type="expression" dxfId="20" priority="4">
      <formula>$V$19&gt;$V$18</formula>
    </cfRule>
  </conditionalFormatting>
  <conditionalFormatting sqref="U30">
    <cfRule type="expression" dxfId="19" priority="5">
      <formula>$V$30&gt;$V$31</formula>
    </cfRule>
  </conditionalFormatting>
  <conditionalFormatting sqref="U31">
    <cfRule type="expression" dxfId="18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B18-7936-467A-9331-2EC5F9955C09}">
  <sheetPr codeName="Sheet15"/>
  <dimension ref="A1"/>
  <sheetViews>
    <sheetView workbookViewId="0">
      <selection activeCell="L12" sqref="L12"/>
    </sheetView>
  </sheetViews>
  <sheetFormatPr defaultRowHeight="14.4" x14ac:dyDescent="0.5500000000000000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TOURNAMENT DETAILS</vt:lpstr>
      <vt:lpstr>SCHEDULE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  <vt:lpstr>WebServerUpload</vt:lpstr>
      <vt:lpstr>TeamsLeft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 Hay</cp:lastModifiedBy>
  <dcterms:created xsi:type="dcterms:W3CDTF">2024-01-06T19:17:13Z</dcterms:created>
  <dcterms:modified xsi:type="dcterms:W3CDTF">2024-02-06T20:01:32Z</dcterms:modified>
</cp:coreProperties>
</file>